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5-Nested IF and IFS Formula\"/>
    </mc:Choice>
  </mc:AlternateContent>
  <xr:revisionPtr revIDLastSave="0" documentId="13_ncr:1_{29FF6DA7-1AAC-4AAC-AD12-996663BDF59E}" xr6:coauthVersionLast="47" xr6:coauthVersionMax="47" xr10:uidLastSave="{00000000-0000-0000-0000-000000000000}"/>
  <bookViews>
    <workbookView xWindow="-120" yWindow="-120" windowWidth="20730" windowHeight="11040" activeTab="1" xr2:uid="{AD9D253A-06FE-42CD-BC84-CC38115B837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4" i="4" a="1"/>
  <c r="D4" i="4" s="1"/>
  <c r="C5" i="4"/>
  <c r="C6" i="4"/>
  <c r="C7" i="4"/>
  <c r="C8" i="4"/>
  <c r="C9" i="4"/>
  <c r="C10" i="4"/>
  <c r="C11" i="4"/>
  <c r="C4" i="4"/>
  <c r="D3" i="3" a="1"/>
  <c r="D3" i="3" s="1"/>
  <c r="D4" i="3" a="1"/>
  <c r="D4" i="3" s="1"/>
  <c r="D5" i="3" a="1"/>
  <c r="D5" i="3"/>
  <c r="D6" i="3" a="1"/>
  <c r="D6" i="3" s="1"/>
  <c r="D7" i="3" a="1"/>
  <c r="D7" i="3" s="1"/>
  <c r="D2" i="3" a="1"/>
  <c r="D2" i="3" s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2" i="1"/>
  <c r="F3" i="1"/>
  <c r="F4" i="1"/>
  <c r="F5" i="1"/>
  <c r="F6" i="1"/>
  <c r="F3" i="2"/>
  <c r="F4" i="2"/>
  <c r="F5" i="2"/>
  <c r="F6" i="2"/>
  <c r="F2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<sst xmlns="http://schemas.openxmlformats.org/spreadsheetml/2006/main" count="60" uniqueCount="49">
  <si>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</si>
  <si>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</si>
  <si>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</si>
  <si>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</si>
  <si>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</si>
  <si>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</si>
  <si>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</si>
  <si>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</si>
  <si>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</si>
  <si>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</si>
  <si>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</si>
  <si>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Sr No</t>
  </si>
  <si>
    <t>Emp</t>
  </si>
  <si>
    <t>Days</t>
  </si>
  <si>
    <t>Promotion: Yes/No</t>
  </si>
  <si>
    <t>Performance/10</t>
  </si>
  <si>
    <t>Customer</t>
  </si>
  <si>
    <t>Quantity Order</t>
  </si>
  <si>
    <t>Conditions</t>
  </si>
  <si>
    <t>Discount%</t>
  </si>
  <si>
    <t>Greater than equal to 5</t>
  </si>
  <si>
    <t>Greater than equal to 10</t>
  </si>
  <si>
    <t>Lessn than 5</t>
  </si>
  <si>
    <t>Anil</t>
  </si>
  <si>
    <t>Vikas</t>
  </si>
  <si>
    <t>Sachin</t>
  </si>
  <si>
    <t>Vijay</t>
  </si>
  <si>
    <t>Virat</t>
  </si>
  <si>
    <t>Snehal</t>
  </si>
  <si>
    <t>%Age</t>
  </si>
  <si>
    <t>Pass</t>
  </si>
  <si>
    <t>Fail</t>
  </si>
  <si>
    <t>A++</t>
  </si>
  <si>
    <t>A+</t>
  </si>
  <si>
    <t>Only Grade</t>
  </si>
  <si>
    <t>Grade with Result Condition</t>
  </si>
  <si>
    <t>Rating</t>
  </si>
  <si>
    <t>conditions</t>
  </si>
  <si>
    <t>Grade</t>
  </si>
  <si>
    <t>grade</t>
  </si>
  <si>
    <t>condition</t>
  </si>
  <si>
    <t>Review(IFS)</t>
  </si>
  <si>
    <t>Review(Nested if)</t>
  </si>
  <si>
    <t>5-very good</t>
  </si>
  <si>
    <t>4-good</t>
  </si>
  <si>
    <t>3-Average</t>
  </si>
  <si>
    <t>1-poor</t>
  </si>
  <si>
    <t>2- Bad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</si>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</sst>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quotePrefix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I15"/>
  <sheetViews>
    <sheetView zoomScale="75" zoomScaleNormal="100" workbookViewId="0">
      <selection activeCell="I9" sqref="I9"/>
    </sheetView>
  </sheetViews>
  <sheetFormatPr defaultRowHeight="15" x14ac:dyDescent="0.25"/>
  <cols>
    <col min="1" max="1" width="9.85546875" customWidth="1"/>
    <col min="2" max="2" width="14.42578125" bestFit="1" customWidth="1"/>
    <col min="4" max="4" width="10.42578125" customWidth="1"/>
    <col min="6" max="6" width="10.5703125" bestFit="1" customWidth="1"/>
    <col min="8" max="8" width="13.140625" customWidth="1"/>
    <col min="9" max="9" width="23.42578125" bestFit="1" customWidth="1"/>
    <col min="11" max="11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29</v>
      </c>
      <c r="H1" t="s">
        <v>34</v>
      </c>
      <c r="I1" t="s">
        <v>35</v>
      </c>
    </row>
    <row r="2" spans="1:9" x14ac:dyDescent="0.25">
      <c r="A2">
        <v>1</v>
      </c>
      <c r="B2" t="s">
        <v>5</v>
      </c>
      <c r="C2" s="1">
        <v>95</v>
      </c>
      <c r="D2" s="1">
        <v>98</v>
      </c>
      <c r="E2" s="1">
        <v>90</v>
      </c>
      <c r="F2" t="str">
        <f>IF(AND(C2&gt;=35,D2&gt;=35,E2&gt;=35),"Pass","Fail")</f>
        <v>Pass</v>
      </c>
      <c r="G2" s="4">
        <f>SUM(C2:E2)/300*100</f>
        <v>94.333333333333343</v>
      </c>
      <c r="H2" t="str">
        <f>IF(G2&gt;=90,"A++",IF(G2&gt;=75,"A+",IF(G2&gt;=60,"A",IF(G2&gt;=45,"B",IF(G2&gt;=35,"C","Fail")))))</f>
        <v>A++</v>
      </c>
      <c r="I2" t="str">
        <f>IF(F2="Fail","Fail",H2)</f>
        <v>A++</v>
      </c>
    </row>
    <row r="3" spans="1:9" x14ac:dyDescent="0.25">
      <c r="A3">
        <v>2</v>
      </c>
      <c r="B3" t="s">
        <v>6</v>
      </c>
      <c r="C3" s="1">
        <v>36</v>
      </c>
      <c r="D3" s="1">
        <v>42</v>
      </c>
      <c r="E3" s="1">
        <v>20</v>
      </c>
      <c r="F3" t="str">
        <f t="shared" ref="F3:F6" si="0">IF(AND(C3&gt;=35,D3&gt;=35,E3&gt;=35),"Pass","Fail")</f>
        <v>Fail</v>
      </c>
      <c r="G3" s="4">
        <f t="shared" ref="G3:G6" si="1">SUM(C3:E3)/300*100</f>
        <v>32.666666666666664</v>
      </c>
      <c r="H3" t="str">
        <f t="shared" ref="H3:H6" si="2">IF(G3&gt;=90,"A++",IF(G3&gt;=75,"A+",IF(G3&gt;=60,"A",IF(G3&gt;=45,"B",IF(G3&gt;=35,"C","Fail")))))</f>
        <v>Fail</v>
      </c>
      <c r="I3" t="str">
        <f t="shared" ref="I3:I6" si="3">IF(F3="Fail","Fail",H3)</f>
        <v>Fail</v>
      </c>
    </row>
    <row r="4" spans="1:9" x14ac:dyDescent="0.25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s="4">
        <f t="shared" si="1"/>
        <v>71.666666666666671</v>
      </c>
      <c r="H4" t="str">
        <f t="shared" si="2"/>
        <v>A</v>
      </c>
      <c r="I4" t="str">
        <f t="shared" si="3"/>
        <v>A</v>
      </c>
    </row>
    <row r="5" spans="1:9" x14ac:dyDescent="0.25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s="4">
        <f t="shared" si="1"/>
        <v>54.333333333333336</v>
      </c>
      <c r="H5" t="str">
        <f t="shared" si="2"/>
        <v>B</v>
      </c>
      <c r="I5" t="str">
        <f t="shared" si="3"/>
        <v>B</v>
      </c>
    </row>
    <row r="6" spans="1:9" x14ac:dyDescent="0.25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s="4">
        <f t="shared" si="1"/>
        <v>67.666666666666657</v>
      </c>
      <c r="H6" t="str">
        <f t="shared" si="2"/>
        <v>A</v>
      </c>
      <c r="I6" t="str">
        <f t="shared" si="3"/>
        <v>Fail</v>
      </c>
    </row>
    <row r="7" spans="1:9" x14ac:dyDescent="0.25">
      <c r="C7" s="1"/>
      <c r="D7" s="1"/>
      <c r="E7" s="1"/>
      <c r="G7" s="4"/>
    </row>
    <row r="8" spans="1:9" x14ac:dyDescent="0.25">
      <c r="C8" s="1"/>
      <c r="D8" s="1"/>
      <c r="E8" s="1"/>
      <c r="G8" s="4"/>
    </row>
    <row r="9" spans="1:9" x14ac:dyDescent="0.25">
      <c r="C9" s="1"/>
      <c r="D9" t="s">
        <v>37</v>
      </c>
      <c r="E9" s="6"/>
    </row>
    <row r="10" spans="1:9" x14ac:dyDescent="0.25">
      <c r="C10" s="1"/>
      <c r="F10" t="s">
        <v>29</v>
      </c>
      <c r="G10" t="s">
        <v>38</v>
      </c>
    </row>
    <row r="11" spans="1:9" x14ac:dyDescent="0.25">
      <c r="D11" t="s">
        <v>30</v>
      </c>
      <c r="E11" t="s">
        <v>39</v>
      </c>
      <c r="F11">
        <v>90</v>
      </c>
      <c r="G11" t="s">
        <v>32</v>
      </c>
    </row>
    <row r="12" spans="1:9" x14ac:dyDescent="0.25">
      <c r="D12" t="s">
        <v>31</v>
      </c>
      <c r="E12" t="s">
        <v>31</v>
      </c>
      <c r="F12">
        <v>75</v>
      </c>
      <c r="G12" t="s">
        <v>33</v>
      </c>
    </row>
    <row r="13" spans="1:9" x14ac:dyDescent="0.25">
      <c r="F13">
        <v>60</v>
      </c>
      <c r="G13" t="s">
        <v>5</v>
      </c>
    </row>
    <row r="14" spans="1:9" x14ac:dyDescent="0.25">
      <c r="F14">
        <v>45</v>
      </c>
      <c r="G14" t="s">
        <v>6</v>
      </c>
    </row>
    <row r="15" spans="1:9" x14ac:dyDescent="0.25">
      <c r="F15">
        <v>35</v>
      </c>
      <c r="G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754-7E0D-4727-9D84-4838E7DC5F81}">
  <dimension ref="A1:F6"/>
  <sheetViews>
    <sheetView tabSelected="1" zoomScale="102" zoomScaleNormal="205" workbookViewId="0">
      <selection activeCell="E5" sqref="E5"/>
    </sheetView>
  </sheetViews>
  <sheetFormatPr defaultRowHeight="15" x14ac:dyDescent="0.25"/>
  <cols>
    <col min="3" max="3" width="10.42578125" bestFit="1" customWidth="1"/>
    <col min="4" max="4" width="14.28515625" bestFit="1" customWidth="1"/>
    <col min="5" max="5" width="16.28515625" bestFit="1" customWidth="1"/>
  </cols>
  <sheetData>
    <row r="1" spans="1:6" x14ac:dyDescent="0.25">
      <c r="A1" t="s">
        <v>11</v>
      </c>
      <c r="B1" t="s">
        <v>12</v>
      </c>
      <c r="C1" s="2" t="s">
        <v>13</v>
      </c>
      <c r="D1" t="s">
        <v>15</v>
      </c>
      <c r="E1" t="s">
        <v>14</v>
      </c>
    </row>
    <row r="2" spans="1:6" x14ac:dyDescent="0.25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25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 x14ac:dyDescent="0.25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25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25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FDFE-08F3-4AFC-8957-A700528FCF4A}">
  <dimension ref="A1:H7"/>
  <sheetViews>
    <sheetView tabSelected="1" topLeftCell="B1" zoomScale="117" zoomScaleNormal="190" workbookViewId="0">
      <selection activeCell="E5" sqref="E5"/>
    </sheetView>
  </sheetViews>
  <sheetFormatPr defaultRowHeight="15" x14ac:dyDescent="0.25"/>
  <cols>
    <col min="2" max="2" width="9.7109375" customWidth="1"/>
    <col min="3" max="3" width="13.28515625" customWidth="1"/>
    <col min="4" max="4" width="9.7109375" bestFit="1" customWidth="1"/>
    <col min="7" max="7" width="20.42578125" bestFit="1" customWidth="1"/>
  </cols>
  <sheetData>
    <row r="1" spans="1:8" x14ac:dyDescent="0.25">
      <c r="A1" t="s">
        <v>11</v>
      </c>
      <c r="B1" t="s">
        <v>16</v>
      </c>
      <c r="C1" t="s">
        <v>17</v>
      </c>
      <c r="D1" t="s">
        <v>19</v>
      </c>
      <c r="G1" t="s">
        <v>18</v>
      </c>
    </row>
    <row r="2" spans="1:8" x14ac:dyDescent="0.25">
      <c r="A2">
        <v>1</v>
      </c>
      <c r="B2" t="s">
        <v>23</v>
      </c>
      <c r="C2">
        <v>18</v>
      </c>
      <c r="D2" s="5" cm="1">
        <f t="array" ref="D2">_xlfn.IFS(C2&gt;=10,20%, C2&gt;=5,10%,C2&gt;=0,0)</f>
        <v>0.2</v>
      </c>
      <c r="G2" t="s">
        <v>21</v>
      </c>
      <c r="H2" s="3">
        <v>0.2</v>
      </c>
    </row>
    <row r="3" spans="1:8" x14ac:dyDescent="0.25">
      <c r="A3">
        <v>2</v>
      </c>
      <c r="B3" t="s">
        <v>24</v>
      </c>
      <c r="C3">
        <v>3</v>
      </c>
      <c r="D3" s="5" cm="1">
        <f t="array" ref="D3">_xlfn.IFS(C3&gt;=10,20%, C3&gt;=5,10%,C3&gt;=0,0)</f>
        <v>0</v>
      </c>
      <c r="G3" t="s">
        <v>20</v>
      </c>
      <c r="H3" s="3">
        <v>0.1</v>
      </c>
    </row>
    <row r="4" spans="1:8" x14ac:dyDescent="0.25">
      <c r="A4">
        <v>3</v>
      </c>
      <c r="B4" t="s">
        <v>25</v>
      </c>
      <c r="C4">
        <v>11</v>
      </c>
      <c r="D4" s="5" cm="1">
        <f t="array" ref="D4">_xlfn.IFS(C4&gt;=10,20%, C4&gt;=5,10%,C4&gt;=0,0)</f>
        <v>0.2</v>
      </c>
      <c r="G4" t="s">
        <v>22</v>
      </c>
      <c r="H4" s="3">
        <v>0</v>
      </c>
    </row>
    <row r="5" spans="1:8" x14ac:dyDescent="0.25">
      <c r="A5">
        <v>4</v>
      </c>
      <c r="B5" t="s">
        <v>26</v>
      </c>
      <c r="C5">
        <v>6</v>
      </c>
      <c r="D5" s="5" cm="1">
        <f t="array" ref="D5">_xlfn.IFS(C5&gt;=10,20%, C5&gt;=5,10%,C5&gt;=0,0)</f>
        <v>0.1</v>
      </c>
    </row>
    <row r="6" spans="1:8" x14ac:dyDescent="0.25">
      <c r="A6">
        <v>5</v>
      </c>
      <c r="B6" t="s">
        <v>27</v>
      </c>
      <c r="C6">
        <v>7</v>
      </c>
      <c r="D6" s="5" cm="1">
        <f t="array" ref="D6">_xlfn.IFS(C6&gt;=10,20%, C6&gt;=5,10%,C6&gt;=0,0)</f>
        <v>0.1</v>
      </c>
    </row>
    <row r="7" spans="1:8" x14ac:dyDescent="0.25">
      <c r="A7">
        <v>6</v>
      </c>
      <c r="B7" t="s">
        <v>28</v>
      </c>
      <c r="C7">
        <v>4</v>
      </c>
      <c r="D7" s="5" cm="1">
        <f t="array" ref="D7">_xlfn.IFS(C7&gt;=10,20%, C7&gt;=5,10%,C7&gt;=0,0)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660-D9B2-4B8C-9859-AFC200AF1AC0}">
  <dimension ref="B1:G11"/>
  <sheetViews>
    <sheetView topLeftCell="B1" zoomScale="125" zoomScaleNormal="205" workbookViewId="0">
      <selection activeCell="I9" sqref="I9"/>
    </sheetView>
  </sheetViews>
  <sheetFormatPr defaultRowHeight="15" x14ac:dyDescent="0.25"/>
  <cols>
    <col min="3" max="3" width="16.28515625" bestFit="1" customWidth="1"/>
    <col min="4" max="4" width="11" bestFit="1" customWidth="1"/>
  </cols>
  <sheetData>
    <row r="1" spans="2:7" x14ac:dyDescent="0.25">
      <c r="B1" s="7" t="s">
        <v>48</v>
      </c>
    </row>
    <row r="3" spans="2:7" x14ac:dyDescent="0.25">
      <c r="B3" t="s">
        <v>36</v>
      </c>
      <c r="C3" t="s">
        <v>42</v>
      </c>
      <c r="D3" t="s">
        <v>41</v>
      </c>
    </row>
    <row r="4" spans="2:7" x14ac:dyDescent="0.25">
      <c r="B4">
        <v>5</v>
      </c>
      <c r="C4" t="str">
        <f>IF(B4=5,"Very Good",IF(B4=4,"Good",IF(B4=3,"Average",IF(B4=2,"Bad",IF(B4=1,"Poor")))))</f>
        <v>Very Good</v>
      </c>
      <c r="D4" t="str" cm="1">
        <f t="array" ref="D4">_xlfn.IFS(B4=5,"Very Good",B4=4,"Good",B4=3,"Average",B4=2,"Bad",B4=1,"Poor")</f>
        <v>Very Good</v>
      </c>
      <c r="G4" t="s">
        <v>40</v>
      </c>
    </row>
    <row r="5" spans="2:7" x14ac:dyDescent="0.25">
      <c r="B5">
        <v>2</v>
      </c>
      <c r="C5" t="str">
        <f t="shared" ref="C5:C11" si="0">IF(B5=5,"Very Good",IF(B5=4,"Good",IF(B5=3,"Average",IF(B5=2,"Bad",IF(B5=1,"Poor")))))</f>
        <v>Bad</v>
      </c>
      <c r="D5" t="str" cm="1">
        <f t="array" ref="D5">_xlfn.IFS(B5=5,"Very Good",B5=4,"Good",B5=3,"Average",B5=2,"Bad",B5=1,"Poor")</f>
        <v>Bad</v>
      </c>
      <c r="G5" t="s">
        <v>43</v>
      </c>
    </row>
    <row r="6" spans="2:7" x14ac:dyDescent="0.25">
      <c r="B6">
        <v>3</v>
      </c>
      <c r="C6" t="str">
        <f t="shared" si="0"/>
        <v>Average</v>
      </c>
      <c r="D6" t="str" cm="1">
        <f t="array" ref="D6">_xlfn.IFS(B6=5,"Very Good",B6=4,"Good",B6=3,"Average",B6=2,"Bad",B6=1,"Poor")</f>
        <v>Average</v>
      </c>
      <c r="G6" t="s">
        <v>44</v>
      </c>
    </row>
    <row r="7" spans="2:7" x14ac:dyDescent="0.25">
      <c r="B7">
        <v>4</v>
      </c>
      <c r="C7" t="str">
        <f t="shared" si="0"/>
        <v>Good</v>
      </c>
      <c r="D7" t="str" cm="1">
        <f t="array" ref="D7">_xlfn.IFS(B7=5,"Very Good",B7=4,"Good",B7=3,"Average",B7=2,"Bad",B7=1,"Poor")</f>
        <v>Good</v>
      </c>
      <c r="G7" t="s">
        <v>45</v>
      </c>
    </row>
    <row r="8" spans="2:7" x14ac:dyDescent="0.25">
      <c r="B8">
        <v>5</v>
      </c>
      <c r="C8" t="str">
        <f t="shared" si="0"/>
        <v>Very Good</v>
      </c>
      <c r="D8" t="str" cm="1">
        <f t="array" ref="D8">_xlfn.IFS(B8=5,"Very Good",B8=4,"Good",B8=3,"Average",B8=2,"Bad",B8=1,"Poor")</f>
        <v>Very Good</v>
      </c>
      <c r="G8" t="s">
        <v>47</v>
      </c>
    </row>
    <row r="9" spans="2:7" x14ac:dyDescent="0.25">
      <c r="B9">
        <v>1</v>
      </c>
      <c r="C9" t="str">
        <f t="shared" si="0"/>
        <v>Poor</v>
      </c>
      <c r="D9" t="str" cm="1">
        <f t="array" ref="D9">_xlfn.IFS(B9=5,"Very Good",B9=4,"Good",B9=3,"Average",B9=2,"Bad",B9=1,"Poor")</f>
        <v>Poor</v>
      </c>
      <c r="G9" t="s">
        <v>46</v>
      </c>
    </row>
    <row r="10" spans="2:7" x14ac:dyDescent="0.25">
      <c r="B10">
        <v>2</v>
      </c>
      <c r="C10" t="str">
        <f t="shared" si="0"/>
        <v>Bad</v>
      </c>
      <c r="D10" t="str" cm="1">
        <f t="array" ref="D10">_xlfn.IFS(B10=5,"Very Good",B10=4,"Good",B10=3,"Average",B10=2,"Bad",B10=1,"Poor")</f>
        <v>Bad</v>
      </c>
    </row>
    <row r="11" spans="2:7" x14ac:dyDescent="0.25">
      <c r="B11">
        <v>1</v>
      </c>
      <c r="C11" t="str">
        <f t="shared" si="0"/>
        <v>Poor</v>
      </c>
      <c r="D11" t="str" cm="1">
        <f t="array" ref="D11">_xlfn.IFS(B11=5,"Very Good",B11=4,"Good",B11=3,"Average",B11=2,"Bad",B11=1,"Poor")</f>
        <v>Poor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Jagriti</cp:lastModifiedBy>
  <dcterms:created xsi:type="dcterms:W3CDTF">2026-04-30T07:29:33Z</dcterms:created>
  <dcterms:modified xsi:type="dcterms:W3CDTF">2026-09-20T15:08:08Z</dcterms:modified>
</cp:coreProperties>
</file>