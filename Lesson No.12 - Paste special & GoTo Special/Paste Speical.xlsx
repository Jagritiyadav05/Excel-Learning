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91926\Downloads\SD108\Lesson No.12 - Paste special &amp; GoTo Special\"/>
    </mc:Choice>
  </mc:AlternateContent>
  <xr:revisionPtr revIDLastSave="0" documentId="13_ncr:1_{CCF1D188-7A5D-493A-BB1E-D902F10154D1}" xr6:coauthVersionLast="47" xr6:coauthVersionMax="47" xr10:uidLastSave="{00000000-0000-0000-0000-000000000000}"/>
  <bookViews>
    <workbookView xWindow="5115" yWindow="1470" windowWidth="15375" windowHeight="8265" tabRatio="774" xr2:uid="{00000000-000D-0000-FFFF-FFFF00000000}"/>
  </bookViews>
  <sheets>
    <sheet name="Data Paste" sheetId="1" r:id="rId1"/>
    <sheet name="Skip Blank" sheetId="11" r:id="rId2"/>
    <sheet name="ADD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2" i="1" l="1"/>
  <c r="AB22" i="1"/>
  <c r="AC22" i="1"/>
  <c r="AD22" i="1"/>
  <c r="AE22" i="1"/>
  <c r="AF22" i="1"/>
  <c r="AG22" i="1"/>
  <c r="AA23" i="1"/>
  <c r="AB23" i="1"/>
  <c r="AC23" i="1"/>
  <c r="AD23" i="1"/>
  <c r="AE23" i="1"/>
  <c r="AF23" i="1"/>
  <c r="AG23" i="1"/>
  <c r="AA24" i="1"/>
  <c r="AB24" i="1"/>
  <c r="AC24" i="1"/>
  <c r="AD24" i="1"/>
  <c r="AE24" i="1"/>
  <c r="AF24" i="1"/>
  <c r="AG24" i="1"/>
  <c r="AA25" i="1"/>
  <c r="AB25" i="1"/>
  <c r="AC25" i="1"/>
  <c r="AD25" i="1"/>
  <c r="AE25" i="1"/>
  <c r="AF25" i="1"/>
  <c r="AG25" i="1"/>
  <c r="AA26" i="1"/>
  <c r="AB26" i="1"/>
  <c r="AC26" i="1"/>
  <c r="AD26" i="1"/>
  <c r="AE26" i="1"/>
  <c r="AF26" i="1"/>
  <c r="AG26" i="1"/>
  <c r="AA27" i="1"/>
  <c r="AB27" i="1"/>
  <c r="AC27" i="1"/>
  <c r="AD27" i="1"/>
  <c r="AE27" i="1"/>
  <c r="AF27" i="1"/>
  <c r="AG27" i="1"/>
  <c r="AA28" i="1"/>
  <c r="AB28" i="1"/>
  <c r="AC28" i="1"/>
  <c r="AD28" i="1"/>
  <c r="AE28" i="1"/>
  <c r="AF28" i="1"/>
  <c r="AG28" i="1"/>
  <c r="AA29" i="1"/>
  <c r="AB29" i="1"/>
  <c r="AC29" i="1"/>
  <c r="AD29" i="1"/>
  <c r="AE29" i="1"/>
  <c r="AF29" i="1"/>
  <c r="AG29" i="1"/>
  <c r="AA30" i="1"/>
  <c r="AB30" i="1"/>
  <c r="AC30" i="1"/>
  <c r="AD30" i="1"/>
  <c r="AE30" i="1"/>
  <c r="AF30" i="1"/>
  <c r="AG30" i="1"/>
  <c r="Q28" i="1"/>
  <c r="P28" i="1"/>
  <c r="O28" i="1"/>
  <c r="N28" i="1"/>
  <c r="M28" i="1"/>
  <c r="L28" i="1"/>
  <c r="K28" i="1"/>
  <c r="J28" i="1"/>
  <c r="Q27" i="1"/>
  <c r="P27" i="1"/>
  <c r="O27" i="1"/>
  <c r="N27" i="1"/>
  <c r="M27" i="1"/>
  <c r="L27" i="1"/>
  <c r="K27" i="1"/>
  <c r="J27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W9" i="1"/>
  <c r="V9" i="1"/>
  <c r="W8" i="1"/>
  <c r="V8" i="1"/>
  <c r="W7" i="1"/>
  <c r="V7" i="1"/>
  <c r="W6" i="1"/>
  <c r="V6" i="1"/>
  <c r="W5" i="1"/>
  <c r="V5" i="1"/>
  <c r="W4" i="1"/>
  <c r="V4" i="1"/>
  <c r="W3" i="1"/>
  <c r="V3" i="1"/>
  <c r="W2" i="1"/>
  <c r="V2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  <c r="F3" i="1"/>
  <c r="G4" i="1"/>
  <c r="G3" i="1"/>
  <c r="G5" i="1"/>
  <c r="G6" i="1"/>
  <c r="G7" i="1"/>
  <c r="G8" i="1"/>
  <c r="G9" i="1"/>
  <c r="G2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<sst xmlns="http://schemas.openxmlformats.org/spreadsheetml/2006/main" count="411" uniqueCount="50">
  <si>
    <t>S. No.</t>
  </si>
  <si>
    <t>Name</t>
  </si>
  <si>
    <t>Employee Code</t>
  </si>
  <si>
    <t>Designation</t>
  </si>
  <si>
    <t>Salary</t>
  </si>
  <si>
    <t>Arun</t>
  </si>
  <si>
    <t>TCS 1</t>
  </si>
  <si>
    <t>MIS Executive</t>
  </si>
  <si>
    <t>Tarun</t>
  </si>
  <si>
    <t>TCS 2</t>
  </si>
  <si>
    <t>Consultant</t>
  </si>
  <si>
    <t>Varun</t>
  </si>
  <si>
    <t>TCS 3</t>
  </si>
  <si>
    <t>Accounts Executive</t>
  </si>
  <si>
    <t>Vikas</t>
  </si>
  <si>
    <t>TCS 4</t>
  </si>
  <si>
    <t>Lalit</t>
  </si>
  <si>
    <t>TCS 6</t>
  </si>
  <si>
    <t>Raju</t>
  </si>
  <si>
    <t>TCS 7</t>
  </si>
  <si>
    <t>Vaibhav</t>
  </si>
  <si>
    <t>TCS 8</t>
  </si>
  <si>
    <t>Sagar</t>
  </si>
  <si>
    <t>TCS 10</t>
  </si>
  <si>
    <t>Manager</t>
  </si>
  <si>
    <t>BONUS</t>
  </si>
  <si>
    <t>INCREMENT</t>
  </si>
  <si>
    <t>List</t>
  </si>
  <si>
    <t>Vikash Singh</t>
  </si>
  <si>
    <t>Rajesh Singh</t>
  </si>
  <si>
    <t>Sachin Pawar</t>
  </si>
  <si>
    <t>Suraj Narayan</t>
  </si>
  <si>
    <t>Rahul Bhor</t>
  </si>
  <si>
    <t>Ravi Verma</t>
  </si>
  <si>
    <t>Vinid Yadav</t>
  </si>
  <si>
    <t>Ravi Singh</t>
  </si>
  <si>
    <t>paste using paste special</t>
  </si>
  <si>
    <t>NAME</t>
  </si>
  <si>
    <t>A</t>
  </si>
  <si>
    <t>B</t>
  </si>
  <si>
    <t>C</t>
  </si>
  <si>
    <t>D</t>
  </si>
  <si>
    <t>SUB1</t>
  </si>
  <si>
    <t>SUB2</t>
  </si>
  <si>
    <t>SUB3</t>
  </si>
  <si>
    <t>GRACE</t>
  </si>
  <si>
    <t>(+10 GRACE MARKS)</t>
  </si>
  <si>
    <t>(-10 GRACE MARKS)</t>
  </si>
  <si>
    <t>(* 10 GRACE MARKS)</t>
  </si>
  <si>
    <t>(/ 10 GRACE MARKS)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</si>
</sst>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4" fontId="3" fillId="0" borderId="1" xfId="1" applyFont="1" applyBorder="1"/>
    <xf numFmtId="0" fontId="2" fillId="2" borderId="2" xfId="0" applyFont="1" applyFill="1" applyBorder="1"/>
    <xf numFmtId="164" fontId="2" fillId="2" borderId="3" xfId="1" applyFont="1" applyFill="1" applyBorder="1"/>
    <xf numFmtId="164" fontId="0" fillId="0" borderId="1" xfId="0" applyNumberFormat="1" applyBorder="1"/>
    <xf numFmtId="164" fontId="3" fillId="0" borderId="0" xfId="1" applyFont="1" applyBorder="1"/>
    <xf numFmtId="164" fontId="0" fillId="0" borderId="0" xfId="0" applyNumberFormat="1"/>
    <xf numFmtId="0" fontId="4" fillId="0" borderId="1" xfId="0" applyFont="1" applyBorder="1"/>
    <xf numFmtId="0" fontId="2" fillId="2" borderId="0" xfId="0" applyFont="1" applyFill="1"/>
    <xf numFmtId="164" fontId="2" fillId="2" borderId="0" xfId="1" applyFont="1" applyFill="1" applyBorder="1"/>
    <xf numFmtId="0" fontId="0" fillId="0" borderId="0" xfId="0" applyAlignment="1">
      <alignment horizontal="center"/>
    </xf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7</xdr:col>
      <xdr:colOff>9525</xdr:colOff>
      <xdr:row>41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88F688-DC1E-13CB-A58B-D09D0A584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5667375" cy="172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32</xdr:row>
          <xdr:rowOff>0</xdr:rowOff>
        </xdr:from>
        <xdr:to>
          <xdr:col>19</xdr:col>
          <xdr:colOff>66675</xdr:colOff>
          <xdr:row>41</xdr:row>
          <xdr:rowOff>9525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2C94A55A-22C2-07A3-14F0-8724BA6CB3E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G$9" spid="_x0000_s10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486650" y="6096000"/>
              <a:ext cx="5667375" cy="1724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30"/>
  <sheetViews>
    <sheetView tabSelected="1" topLeftCell="A12" zoomScale="108" zoomScaleNormal="190" workbookViewId="0">
      <selection activeCell="I44" sqref="I44"/>
    </sheetView>
  </sheetViews>
  <sheetFormatPr defaultRowHeight="15" x14ac:dyDescent="0.25"/>
  <cols>
    <col min="2" max="2" width="9.7109375" customWidth="1"/>
    <col min="3" max="3" width="13.85546875" bestFit="1" customWidth="1"/>
    <col min="4" max="4" width="18.28515625" bestFit="1" customWidth="1"/>
    <col min="5" max="5" width="10.85546875" customWidth="1"/>
    <col min="6" max="6" width="10.7109375" customWidth="1"/>
    <col min="7" max="7" width="12.28515625" bestFit="1" customWidth="1"/>
    <col min="13" max="13" width="9.5703125" bestFit="1" customWidth="1"/>
    <col min="14" max="14" width="10.42578125" bestFit="1" customWidth="1"/>
    <col min="30" max="31" width="10.425781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25</v>
      </c>
      <c r="G1" s="5" t="s">
        <v>26</v>
      </c>
      <c r="I1" s="1" t="s">
        <v>0</v>
      </c>
      <c r="J1" s="1" t="s">
        <v>1</v>
      </c>
      <c r="K1" s="1" t="s">
        <v>2</v>
      </c>
      <c r="L1" s="1" t="s">
        <v>3</v>
      </c>
      <c r="M1" s="6" t="s">
        <v>4</v>
      </c>
      <c r="N1" s="5" t="s">
        <v>25</v>
      </c>
      <c r="O1" s="5" t="s">
        <v>26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25</v>
      </c>
      <c r="W1" t="s">
        <v>26</v>
      </c>
      <c r="Z1" t="s">
        <v>0</v>
      </c>
      <c r="AA1" t="s">
        <v>1</v>
      </c>
      <c r="AB1" t="s">
        <v>2</v>
      </c>
      <c r="AC1" t="s">
        <v>3</v>
      </c>
      <c r="AD1" s="9" t="s">
        <v>4</v>
      </c>
      <c r="AE1" t="s">
        <v>25</v>
      </c>
      <c r="AF1" t="s">
        <v>26</v>
      </c>
    </row>
    <row r="2" spans="1:32" x14ac:dyDescent="0.25">
      <c r="A2" s="2">
        <v>1</v>
      </c>
      <c r="B2" s="3" t="s">
        <v>5</v>
      </c>
      <c r="C2" s="3" t="s">
        <v>6</v>
      </c>
      <c r="D2" s="3" t="s">
        <v>7</v>
      </c>
      <c r="E2" s="4">
        <v>15000</v>
      </c>
      <c r="F2" s="7">
        <f>E2*20%</f>
        <v>3000</v>
      </c>
      <c r="G2" s="3" t="b">
        <f>AND(D2="MIS EXECUTIVE")</f>
        <v>1</v>
      </c>
      <c r="I2" s="2">
        <v>1</v>
      </c>
      <c r="J2" s="3" t="s">
        <v>5</v>
      </c>
      <c r="K2" s="3" t="s">
        <v>6</v>
      </c>
      <c r="L2" s="3" t="s">
        <v>7</v>
      </c>
      <c r="M2" s="4">
        <v>15000</v>
      </c>
      <c r="N2" s="7">
        <f>M2*20%</f>
        <v>3000</v>
      </c>
      <c r="O2" s="3" t="b">
        <f>AND(L2="MIS EXECUTIVE")</f>
        <v>1</v>
      </c>
      <c r="Q2">
        <v>1</v>
      </c>
      <c r="R2" t="s">
        <v>5</v>
      </c>
      <c r="S2" t="s">
        <v>6</v>
      </c>
      <c r="T2" t="s">
        <v>7</v>
      </c>
      <c r="U2">
        <v>15000</v>
      </c>
      <c r="V2">
        <f>U2*20%</f>
        <v>3000</v>
      </c>
      <c r="W2" t="b">
        <f>AND(T2="MIS EXECUTIVE")</f>
        <v>1</v>
      </c>
      <c r="Z2">
        <v>1</v>
      </c>
      <c r="AA2" t="s">
        <v>5</v>
      </c>
      <c r="AB2" t="s">
        <v>6</v>
      </c>
      <c r="AC2" t="s">
        <v>7</v>
      </c>
      <c r="AD2" s="9">
        <v>15000</v>
      </c>
      <c r="AE2" s="9">
        <v>3000</v>
      </c>
      <c r="AF2" t="b">
        <v>1</v>
      </c>
    </row>
    <row r="3" spans="1:32" x14ac:dyDescent="0.25">
      <c r="A3" s="2">
        <v>2</v>
      </c>
      <c r="B3" s="3" t="s">
        <v>8</v>
      </c>
      <c r="C3" s="3" t="s">
        <v>9</v>
      </c>
      <c r="D3" s="3" t="s">
        <v>10</v>
      </c>
      <c r="E3" s="4">
        <v>15000</v>
      </c>
      <c r="F3" s="7">
        <f>E3*20%</f>
        <v>3000</v>
      </c>
      <c r="G3" s="3" t="b">
        <f t="shared" ref="G3:G9" si="0">AND(D3="MIS EXECUTIVE")</f>
        <v>0</v>
      </c>
      <c r="I3" s="2">
        <v>2</v>
      </c>
      <c r="J3" s="3" t="s">
        <v>8</v>
      </c>
      <c r="K3" s="3" t="s">
        <v>9</v>
      </c>
      <c r="L3" s="3" t="s">
        <v>10</v>
      </c>
      <c r="M3" s="4">
        <v>15000</v>
      </c>
      <c r="N3" s="7">
        <f>M3*20%</f>
        <v>3000</v>
      </c>
      <c r="O3" s="3" t="b">
        <f t="shared" ref="O3:O9" si="1">AND(L3="MIS EXECUTIVE")</f>
        <v>0</v>
      </c>
      <c r="Q3">
        <v>2</v>
      </c>
      <c r="R3" t="s">
        <v>8</v>
      </c>
      <c r="S3" t="s">
        <v>9</v>
      </c>
      <c r="T3" t="s">
        <v>10</v>
      </c>
      <c r="U3">
        <v>15000</v>
      </c>
      <c r="V3">
        <f>U3*20%</f>
        <v>3000</v>
      </c>
      <c r="W3" t="b">
        <f t="shared" ref="W3:W9" si="2">AND(T3="MIS EXECUTIVE")</f>
        <v>0</v>
      </c>
      <c r="Z3">
        <v>2</v>
      </c>
      <c r="AA3" t="s">
        <v>8</v>
      </c>
      <c r="AB3" t="s">
        <v>9</v>
      </c>
      <c r="AC3" t="s">
        <v>10</v>
      </c>
      <c r="AD3" s="9">
        <v>15000</v>
      </c>
      <c r="AE3" s="9">
        <v>3000</v>
      </c>
      <c r="AF3" t="b">
        <v>0</v>
      </c>
    </row>
    <row r="4" spans="1:32" x14ac:dyDescent="0.25">
      <c r="A4" s="2">
        <v>3</v>
      </c>
      <c r="B4" s="10" t="s">
        <v>11</v>
      </c>
      <c r="C4" s="3" t="s">
        <v>12</v>
      </c>
      <c r="D4" s="3" t="s">
        <v>13</v>
      </c>
      <c r="E4" s="4">
        <v>12000</v>
      </c>
      <c r="F4" s="7">
        <f t="shared" ref="F4:F9" si="3">E4*20%</f>
        <v>2400</v>
      </c>
      <c r="G4" s="3" t="b">
        <f t="shared" si="0"/>
        <v>0</v>
      </c>
      <c r="I4" s="2">
        <v>3</v>
      </c>
      <c r="J4" s="10" t="s">
        <v>11</v>
      </c>
      <c r="K4" s="3" t="s">
        <v>12</v>
      </c>
      <c r="L4" s="3" t="s">
        <v>13</v>
      </c>
      <c r="M4" s="4">
        <v>12000</v>
      </c>
      <c r="N4" s="7">
        <f t="shared" ref="N4:N9" si="4">M4*20%</f>
        <v>2400</v>
      </c>
      <c r="O4" s="3" t="b">
        <f t="shared" si="1"/>
        <v>0</v>
      </c>
      <c r="Q4">
        <v>3</v>
      </c>
      <c r="R4" t="s">
        <v>11</v>
      </c>
      <c r="S4" t="s">
        <v>12</v>
      </c>
      <c r="T4" t="s">
        <v>13</v>
      </c>
      <c r="U4">
        <v>12000</v>
      </c>
      <c r="V4">
        <f t="shared" ref="V4:V9" si="5">U4*20%</f>
        <v>2400</v>
      </c>
      <c r="W4" t="b">
        <f t="shared" si="2"/>
        <v>0</v>
      </c>
      <c r="Z4">
        <v>3</v>
      </c>
      <c r="AA4" t="s">
        <v>11</v>
      </c>
      <c r="AB4" t="s">
        <v>12</v>
      </c>
      <c r="AC4" t="s">
        <v>13</v>
      </c>
      <c r="AD4" s="9">
        <v>12000</v>
      </c>
      <c r="AE4" s="9">
        <v>2400</v>
      </c>
      <c r="AF4" t="b">
        <v>0</v>
      </c>
    </row>
    <row r="5" spans="1:32" x14ac:dyDescent="0.25">
      <c r="A5" s="2">
        <v>4</v>
      </c>
      <c r="B5" s="3" t="s">
        <v>14</v>
      </c>
      <c r="C5" s="3" t="s">
        <v>15</v>
      </c>
      <c r="D5" s="3" t="s">
        <v>7</v>
      </c>
      <c r="E5" s="4">
        <v>12000</v>
      </c>
      <c r="F5" s="7">
        <f t="shared" si="3"/>
        <v>2400</v>
      </c>
      <c r="G5" s="3" t="b">
        <f t="shared" si="0"/>
        <v>1</v>
      </c>
      <c r="I5" s="2">
        <v>4</v>
      </c>
      <c r="J5" s="3" t="s">
        <v>14</v>
      </c>
      <c r="K5" s="3" t="s">
        <v>15</v>
      </c>
      <c r="L5" s="3" t="s">
        <v>7</v>
      </c>
      <c r="M5" s="4">
        <v>12000</v>
      </c>
      <c r="N5" s="7">
        <f t="shared" si="4"/>
        <v>2400</v>
      </c>
      <c r="O5" s="3" t="b">
        <f t="shared" si="1"/>
        <v>1</v>
      </c>
      <c r="Q5">
        <v>4</v>
      </c>
      <c r="R5" t="s">
        <v>14</v>
      </c>
      <c r="S5" t="s">
        <v>15</v>
      </c>
      <c r="T5" t="s">
        <v>7</v>
      </c>
      <c r="U5">
        <v>12000</v>
      </c>
      <c r="V5">
        <f t="shared" si="5"/>
        <v>2400</v>
      </c>
      <c r="W5" t="b">
        <f t="shared" si="2"/>
        <v>1</v>
      </c>
      <c r="Z5">
        <v>4</v>
      </c>
      <c r="AA5" t="s">
        <v>14</v>
      </c>
      <c r="AB5" t="s">
        <v>15</v>
      </c>
      <c r="AC5" t="s">
        <v>7</v>
      </c>
      <c r="AD5" s="9">
        <v>12000</v>
      </c>
      <c r="AE5" s="9">
        <v>2400</v>
      </c>
      <c r="AF5" t="b">
        <v>1</v>
      </c>
    </row>
    <row r="6" spans="1:32" x14ac:dyDescent="0.25">
      <c r="A6" s="2">
        <v>6</v>
      </c>
      <c r="B6" s="10" t="s">
        <v>16</v>
      </c>
      <c r="C6" s="3" t="s">
        <v>17</v>
      </c>
      <c r="D6" s="3" t="s">
        <v>13</v>
      </c>
      <c r="E6" s="4">
        <v>12000</v>
      </c>
      <c r="F6" s="7">
        <f t="shared" si="3"/>
        <v>2400</v>
      </c>
      <c r="G6" s="3" t="b">
        <f t="shared" si="0"/>
        <v>0</v>
      </c>
      <c r="I6" s="2">
        <v>6</v>
      </c>
      <c r="J6" s="10" t="s">
        <v>16</v>
      </c>
      <c r="K6" s="3" t="s">
        <v>17</v>
      </c>
      <c r="L6" s="3" t="s">
        <v>13</v>
      </c>
      <c r="M6" s="4">
        <v>12000</v>
      </c>
      <c r="N6" s="7">
        <f t="shared" si="4"/>
        <v>2400</v>
      </c>
      <c r="O6" s="3" t="b">
        <f t="shared" si="1"/>
        <v>0</v>
      </c>
      <c r="Q6">
        <v>6</v>
      </c>
      <c r="R6" t="s">
        <v>16</v>
      </c>
      <c r="S6" t="s">
        <v>17</v>
      </c>
      <c r="T6" t="s">
        <v>13</v>
      </c>
      <c r="U6">
        <v>12000</v>
      </c>
      <c r="V6">
        <f t="shared" si="5"/>
        <v>2400</v>
      </c>
      <c r="W6" t="b">
        <f t="shared" si="2"/>
        <v>0</v>
      </c>
      <c r="Z6">
        <v>6</v>
      </c>
      <c r="AA6" t="s">
        <v>16</v>
      </c>
      <c r="AB6" t="s">
        <v>17</v>
      </c>
      <c r="AC6" t="s">
        <v>13</v>
      </c>
      <c r="AD6" s="9">
        <v>12000</v>
      </c>
      <c r="AE6" s="9">
        <v>2400</v>
      </c>
      <c r="AF6" t="b">
        <v>0</v>
      </c>
    </row>
    <row r="7" spans="1:32" x14ac:dyDescent="0.25">
      <c r="A7" s="2">
        <v>7</v>
      </c>
      <c r="B7" s="3" t="s">
        <v>18</v>
      </c>
      <c r="C7" s="3" t="s">
        <v>19</v>
      </c>
      <c r="D7" s="3" t="s">
        <v>7</v>
      </c>
      <c r="E7" s="4">
        <v>12000</v>
      </c>
      <c r="F7" s="7">
        <f t="shared" si="3"/>
        <v>2400</v>
      </c>
      <c r="G7" s="3" t="b">
        <f t="shared" si="0"/>
        <v>1</v>
      </c>
      <c r="I7" s="2">
        <v>7</v>
      </c>
      <c r="J7" s="3" t="s">
        <v>18</v>
      </c>
      <c r="K7" s="3" t="s">
        <v>19</v>
      </c>
      <c r="L7" s="3" t="s">
        <v>7</v>
      </c>
      <c r="M7" s="4">
        <v>12000</v>
      </c>
      <c r="N7" s="7">
        <f t="shared" si="4"/>
        <v>2400</v>
      </c>
      <c r="O7" s="3" t="b">
        <f t="shared" si="1"/>
        <v>1</v>
      </c>
      <c r="Q7">
        <v>7</v>
      </c>
      <c r="R7" t="s">
        <v>18</v>
      </c>
      <c r="S7" t="s">
        <v>19</v>
      </c>
      <c r="T7" t="s">
        <v>7</v>
      </c>
      <c r="U7">
        <v>12000</v>
      </c>
      <c r="V7">
        <f t="shared" si="5"/>
        <v>2400</v>
      </c>
      <c r="W7" t="b">
        <f t="shared" si="2"/>
        <v>1</v>
      </c>
      <c r="Z7">
        <v>7</v>
      </c>
      <c r="AA7" t="s">
        <v>18</v>
      </c>
      <c r="AB7" t="s">
        <v>19</v>
      </c>
      <c r="AC7" t="s">
        <v>7</v>
      </c>
      <c r="AD7" s="9">
        <v>12000</v>
      </c>
      <c r="AE7" s="9">
        <v>2400</v>
      </c>
      <c r="AF7" t="b">
        <v>1</v>
      </c>
    </row>
    <row r="8" spans="1:32" x14ac:dyDescent="0.25">
      <c r="A8" s="2">
        <v>8</v>
      </c>
      <c r="B8" s="10" t="s">
        <v>20</v>
      </c>
      <c r="C8" s="3" t="s">
        <v>21</v>
      </c>
      <c r="D8" s="3" t="s">
        <v>10</v>
      </c>
      <c r="E8" s="4">
        <v>15000</v>
      </c>
      <c r="F8" s="7">
        <f t="shared" si="3"/>
        <v>3000</v>
      </c>
      <c r="G8" s="3" t="b">
        <f t="shared" si="0"/>
        <v>0</v>
      </c>
      <c r="I8" s="2">
        <v>8</v>
      </c>
      <c r="J8" s="10" t="s">
        <v>20</v>
      </c>
      <c r="K8" s="3" t="s">
        <v>21</v>
      </c>
      <c r="L8" s="3" t="s">
        <v>10</v>
      </c>
      <c r="M8" s="4">
        <v>15000</v>
      </c>
      <c r="N8" s="7">
        <f t="shared" si="4"/>
        <v>3000</v>
      </c>
      <c r="O8" s="3" t="b">
        <f t="shared" si="1"/>
        <v>0</v>
      </c>
      <c r="Q8">
        <v>8</v>
      </c>
      <c r="R8" t="s">
        <v>20</v>
      </c>
      <c r="S8" t="s">
        <v>21</v>
      </c>
      <c r="T8" t="s">
        <v>10</v>
      </c>
      <c r="U8">
        <v>15000</v>
      </c>
      <c r="V8">
        <f t="shared" si="5"/>
        <v>3000</v>
      </c>
      <c r="W8" t="b">
        <f t="shared" si="2"/>
        <v>0</v>
      </c>
      <c r="Z8">
        <v>8</v>
      </c>
      <c r="AA8" t="s">
        <v>20</v>
      </c>
      <c r="AB8" t="s">
        <v>21</v>
      </c>
      <c r="AC8" t="s">
        <v>10</v>
      </c>
      <c r="AD8" s="9">
        <v>15000</v>
      </c>
      <c r="AE8" s="9">
        <v>3000</v>
      </c>
      <c r="AF8" t="b">
        <v>0</v>
      </c>
    </row>
    <row r="9" spans="1:32" x14ac:dyDescent="0.25">
      <c r="A9" s="2">
        <v>10</v>
      </c>
      <c r="B9" s="3" t="s">
        <v>22</v>
      </c>
      <c r="C9" s="3" t="s">
        <v>23</v>
      </c>
      <c r="D9" s="3" t="s">
        <v>24</v>
      </c>
      <c r="E9" s="4">
        <v>75000</v>
      </c>
      <c r="F9" s="7">
        <f t="shared" si="3"/>
        <v>15000</v>
      </c>
      <c r="G9" s="3" t="b">
        <f t="shared" si="0"/>
        <v>0</v>
      </c>
      <c r="I9" s="2">
        <v>10</v>
      </c>
      <c r="J9" s="3" t="s">
        <v>22</v>
      </c>
      <c r="K9" s="3" t="s">
        <v>23</v>
      </c>
      <c r="L9" s="3" t="s">
        <v>24</v>
      </c>
      <c r="M9" s="4">
        <v>75000</v>
      </c>
      <c r="N9" s="7">
        <f t="shared" si="4"/>
        <v>15000</v>
      </c>
      <c r="O9" s="3" t="b">
        <f t="shared" si="1"/>
        <v>0</v>
      </c>
      <c r="Q9">
        <v>10</v>
      </c>
      <c r="R9" t="s">
        <v>22</v>
      </c>
      <c r="S9" t="s">
        <v>23</v>
      </c>
      <c r="T9" t="s">
        <v>24</v>
      </c>
      <c r="U9">
        <v>75000</v>
      </c>
      <c r="V9">
        <f t="shared" si="5"/>
        <v>15000</v>
      </c>
      <c r="W9" t="b">
        <f t="shared" si="2"/>
        <v>0</v>
      </c>
      <c r="Z9">
        <v>10</v>
      </c>
      <c r="AA9" t="s">
        <v>22</v>
      </c>
      <c r="AB9" t="s">
        <v>23</v>
      </c>
      <c r="AC9" t="s">
        <v>24</v>
      </c>
      <c r="AD9" s="9">
        <v>75000</v>
      </c>
      <c r="AE9" s="9">
        <v>15000</v>
      </c>
      <c r="AF9" t="b">
        <v>0</v>
      </c>
    </row>
    <row r="11" spans="1:32" x14ac:dyDescent="0.25">
      <c r="A11" t="s">
        <v>0</v>
      </c>
      <c r="B11" t="s">
        <v>1</v>
      </c>
      <c r="C11" t="s">
        <v>2</v>
      </c>
      <c r="D11" t="s">
        <v>3</v>
      </c>
      <c r="E11" s="9" t="s">
        <v>4</v>
      </c>
      <c r="F11" t="s">
        <v>25</v>
      </c>
      <c r="G11" t="s">
        <v>26</v>
      </c>
      <c r="I11" s="1" t="s">
        <v>0</v>
      </c>
      <c r="J11" s="1" t="s">
        <v>1</v>
      </c>
      <c r="K11" s="1" t="s">
        <v>2</v>
      </c>
      <c r="L11" s="1" t="s">
        <v>3</v>
      </c>
      <c r="M11" s="6" t="s">
        <v>4</v>
      </c>
      <c r="N11" s="5" t="s">
        <v>25</v>
      </c>
      <c r="O11" s="5" t="s">
        <v>26</v>
      </c>
      <c r="Q11" s="11" t="s">
        <v>0</v>
      </c>
      <c r="R11" s="11" t="s">
        <v>1</v>
      </c>
      <c r="S11" s="11" t="s">
        <v>2</v>
      </c>
      <c r="T11" s="11" t="s">
        <v>3</v>
      </c>
      <c r="U11" s="12" t="s">
        <v>4</v>
      </c>
      <c r="V11" s="11" t="s">
        <v>25</v>
      </c>
      <c r="W11" s="11" t="s">
        <v>26</v>
      </c>
      <c r="Z11" s="1" t="s">
        <v>0</v>
      </c>
      <c r="AA11" s="1" t="s">
        <v>1</v>
      </c>
      <c r="AB11" s="1" t="s">
        <v>2</v>
      </c>
      <c r="AC11" s="1" t="s">
        <v>3</v>
      </c>
      <c r="AD11" s="6" t="s">
        <v>4</v>
      </c>
      <c r="AE11" s="5" t="s">
        <v>25</v>
      </c>
      <c r="AF11" s="5" t="s">
        <v>26</v>
      </c>
    </row>
    <row r="12" spans="1:32" x14ac:dyDescent="0.25">
      <c r="A12">
        <v>1</v>
      </c>
      <c r="B12" t="s">
        <v>5</v>
      </c>
      <c r="C12" t="s">
        <v>6</v>
      </c>
      <c r="D12" t="s">
        <v>7</v>
      </c>
      <c r="E12" s="9">
        <v>15000</v>
      </c>
      <c r="F12" s="9">
        <f>E12*20%</f>
        <v>3000</v>
      </c>
      <c r="G12" t="b">
        <f>AND(D12="MIS EXECUTIVE")</f>
        <v>1</v>
      </c>
      <c r="I12" s="2">
        <v>1</v>
      </c>
      <c r="J12" s="3" t="s">
        <v>5</v>
      </c>
      <c r="K12" s="3" t="s">
        <v>6</v>
      </c>
      <c r="L12" s="3" t="s">
        <v>7</v>
      </c>
      <c r="M12" s="4">
        <v>15000</v>
      </c>
      <c r="N12" s="7">
        <f>M12*20%</f>
        <v>3000</v>
      </c>
      <c r="O12" s="3" t="b">
        <f>AND(L12="MIS EXECUTIVE")</f>
        <v>1</v>
      </c>
      <c r="Q12" s="13">
        <v>1</v>
      </c>
      <c r="R12" t="s">
        <v>5</v>
      </c>
      <c r="S12" t="s">
        <v>6</v>
      </c>
      <c r="T12" t="s">
        <v>7</v>
      </c>
      <c r="U12" s="8">
        <v>15000</v>
      </c>
      <c r="V12" s="9">
        <f>U12*20%</f>
        <v>3000</v>
      </c>
      <c r="W12" t="b">
        <f>AND(T12="MIS EXECUTIVE")</f>
        <v>1</v>
      </c>
      <c r="Z12" s="2">
        <v>1</v>
      </c>
      <c r="AA12" s="3" t="s">
        <v>5</v>
      </c>
      <c r="AB12" s="3" t="s">
        <v>6</v>
      </c>
      <c r="AC12" s="3" t="s">
        <v>7</v>
      </c>
      <c r="AD12" s="4">
        <v>15000</v>
      </c>
      <c r="AE12" s="7">
        <v>3000</v>
      </c>
      <c r="AF12" s="3" t="b">
        <v>1</v>
      </c>
    </row>
    <row r="13" spans="1:32" x14ac:dyDescent="0.25">
      <c r="A13">
        <v>2</v>
      </c>
      <c r="B13" t="s">
        <v>8</v>
      </c>
      <c r="C13" t="s">
        <v>9</v>
      </c>
      <c r="D13" t="s">
        <v>10</v>
      </c>
      <c r="E13" s="9">
        <v>15000</v>
      </c>
      <c r="F13" s="9">
        <f>E13*20%</f>
        <v>3000</v>
      </c>
      <c r="G13" t="b">
        <f t="shared" ref="G13:G19" si="6">AND(D13="MIS EXECUTIVE")</f>
        <v>0</v>
      </c>
      <c r="I13" s="2">
        <v>2</v>
      </c>
      <c r="J13" s="3" t="s">
        <v>8</v>
      </c>
      <c r="K13" s="3" t="s">
        <v>9</v>
      </c>
      <c r="L13" s="3" t="s">
        <v>10</v>
      </c>
      <c r="M13" s="4">
        <v>15000</v>
      </c>
      <c r="N13" s="7">
        <f>M13*20%</f>
        <v>3000</v>
      </c>
      <c r="O13" s="3" t="b">
        <f t="shared" ref="O13:O19" si="7">AND(L13="MIS EXECUTIVE")</f>
        <v>0</v>
      </c>
      <c r="Q13" s="13">
        <v>2</v>
      </c>
      <c r="R13" t="s">
        <v>8</v>
      </c>
      <c r="S13" t="s">
        <v>9</v>
      </c>
      <c r="T13" t="s">
        <v>10</v>
      </c>
      <c r="U13" s="8">
        <v>15000</v>
      </c>
      <c r="V13" s="9">
        <f>U13*20%</f>
        <v>3000</v>
      </c>
      <c r="W13" t="b">
        <f t="shared" ref="W13:W19" si="8">AND(T13="MIS EXECUTIVE")</f>
        <v>0</v>
      </c>
      <c r="Z13" s="2">
        <v>2</v>
      </c>
      <c r="AA13" s="3" t="s">
        <v>8</v>
      </c>
      <c r="AB13" s="3" t="s">
        <v>9</v>
      </c>
      <c r="AC13" s="3" t="s">
        <v>10</v>
      </c>
      <c r="AD13" s="4">
        <v>15000</v>
      </c>
      <c r="AE13" s="7">
        <v>3000</v>
      </c>
      <c r="AF13" s="3" t="b">
        <v>0</v>
      </c>
    </row>
    <row r="14" spans="1:32" x14ac:dyDescent="0.25">
      <c r="A14">
        <v>3</v>
      </c>
      <c r="B14" t="s">
        <v>11</v>
      </c>
      <c r="C14" t="s">
        <v>12</v>
      </c>
      <c r="D14" t="s">
        <v>13</v>
      </c>
      <c r="E14" s="9">
        <v>12000</v>
      </c>
      <c r="F14" s="9">
        <f t="shared" ref="F14:F19" si="9">E14*20%</f>
        <v>2400</v>
      </c>
      <c r="G14" t="b">
        <f t="shared" si="6"/>
        <v>0</v>
      </c>
      <c r="I14" s="2">
        <v>3</v>
      </c>
      <c r="J14" s="10" t="s">
        <v>11</v>
      </c>
      <c r="K14" s="3" t="s">
        <v>12</v>
      </c>
      <c r="L14" s="3" t="s">
        <v>13</v>
      </c>
      <c r="M14" s="4">
        <v>12000</v>
      </c>
      <c r="N14" s="7">
        <f t="shared" ref="N14:N19" si="10">M14*20%</f>
        <v>2400</v>
      </c>
      <c r="O14" s="3" t="b">
        <f t="shared" si="7"/>
        <v>0</v>
      </c>
      <c r="Q14" s="13">
        <v>3</v>
      </c>
      <c r="R14" s="14" t="s">
        <v>11</v>
      </c>
      <c r="S14" t="s">
        <v>12</v>
      </c>
      <c r="T14" t="s">
        <v>13</v>
      </c>
      <c r="U14" s="8">
        <v>12000</v>
      </c>
      <c r="V14" s="9">
        <f t="shared" ref="V14:V19" si="11">U14*20%</f>
        <v>2400</v>
      </c>
      <c r="W14" t="b">
        <f t="shared" si="8"/>
        <v>0</v>
      </c>
      <c r="Z14" s="2">
        <v>3</v>
      </c>
      <c r="AA14" s="10" t="s">
        <v>11</v>
      </c>
      <c r="AB14" s="3" t="s">
        <v>12</v>
      </c>
      <c r="AC14" s="3" t="s">
        <v>13</v>
      </c>
      <c r="AD14" s="4">
        <v>12000</v>
      </c>
      <c r="AE14" s="7">
        <v>2400</v>
      </c>
      <c r="AF14" s="3" t="b">
        <v>0</v>
      </c>
    </row>
    <row r="15" spans="1:32" x14ac:dyDescent="0.25">
      <c r="A15">
        <v>4</v>
      </c>
      <c r="B15" t="s">
        <v>14</v>
      </c>
      <c r="C15" t="s">
        <v>15</v>
      </c>
      <c r="D15" t="s">
        <v>7</v>
      </c>
      <c r="E15" s="9">
        <v>12000</v>
      </c>
      <c r="F15" s="9">
        <f t="shared" si="9"/>
        <v>2400</v>
      </c>
      <c r="G15" t="b">
        <f t="shared" si="6"/>
        <v>1</v>
      </c>
      <c r="I15" s="2">
        <v>4</v>
      </c>
      <c r="J15" s="3" t="s">
        <v>14</v>
      </c>
      <c r="K15" s="3" t="s">
        <v>15</v>
      </c>
      <c r="L15" s="3" t="s">
        <v>7</v>
      </c>
      <c r="M15" s="4">
        <v>12000</v>
      </c>
      <c r="N15" s="7">
        <f t="shared" si="10"/>
        <v>2400</v>
      </c>
      <c r="O15" s="3" t="b">
        <f t="shared" si="7"/>
        <v>1</v>
      </c>
      <c r="Q15" s="13">
        <v>4</v>
      </c>
      <c r="R15" t="s">
        <v>14</v>
      </c>
      <c r="S15" t="s">
        <v>15</v>
      </c>
      <c r="T15" t="s">
        <v>7</v>
      </c>
      <c r="U15" s="8">
        <v>12000</v>
      </c>
      <c r="V15" s="9">
        <f t="shared" si="11"/>
        <v>2400</v>
      </c>
      <c r="W15" t="b">
        <f t="shared" si="8"/>
        <v>1</v>
      </c>
      <c r="Z15" s="2">
        <v>4</v>
      </c>
      <c r="AA15" s="3" t="s">
        <v>14</v>
      </c>
      <c r="AB15" s="3" t="s">
        <v>15</v>
      </c>
      <c r="AC15" s="3" t="s">
        <v>7</v>
      </c>
      <c r="AD15" s="4">
        <v>12000</v>
      </c>
      <c r="AE15" s="7">
        <v>2400</v>
      </c>
      <c r="AF15" s="3" t="b">
        <v>1</v>
      </c>
    </row>
    <row r="16" spans="1:32" x14ac:dyDescent="0.25">
      <c r="A16">
        <v>6</v>
      </c>
      <c r="B16" t="s">
        <v>16</v>
      </c>
      <c r="C16" t="s">
        <v>17</v>
      </c>
      <c r="D16" t="s">
        <v>13</v>
      </c>
      <c r="E16" s="9">
        <v>12000</v>
      </c>
      <c r="F16" s="9">
        <f t="shared" si="9"/>
        <v>2400</v>
      </c>
      <c r="G16" t="b">
        <f t="shared" si="6"/>
        <v>0</v>
      </c>
      <c r="I16" s="2">
        <v>6</v>
      </c>
      <c r="J16" s="10" t="s">
        <v>16</v>
      </c>
      <c r="K16" s="3" t="s">
        <v>17</v>
      </c>
      <c r="L16" s="3" t="s">
        <v>13</v>
      </c>
      <c r="M16" s="4">
        <v>12000</v>
      </c>
      <c r="N16" s="7">
        <f t="shared" si="10"/>
        <v>2400</v>
      </c>
      <c r="O16" s="3" t="b">
        <f t="shared" si="7"/>
        <v>0</v>
      </c>
      <c r="Q16" s="13">
        <v>6</v>
      </c>
      <c r="R16" s="14" t="s">
        <v>16</v>
      </c>
      <c r="S16" t="s">
        <v>17</v>
      </c>
      <c r="T16" t="s">
        <v>13</v>
      </c>
      <c r="U16" s="8">
        <v>12000</v>
      </c>
      <c r="V16" s="9">
        <f t="shared" si="11"/>
        <v>2400</v>
      </c>
      <c r="W16" t="b">
        <f t="shared" si="8"/>
        <v>0</v>
      </c>
      <c r="Z16" s="2">
        <v>6</v>
      </c>
      <c r="AA16" s="10" t="s">
        <v>16</v>
      </c>
      <c r="AB16" s="3" t="s">
        <v>17</v>
      </c>
      <c r="AC16" s="3" t="s">
        <v>13</v>
      </c>
      <c r="AD16" s="4">
        <v>12000</v>
      </c>
      <c r="AE16" s="7">
        <v>2400</v>
      </c>
      <c r="AF16" s="3" t="b">
        <v>0</v>
      </c>
    </row>
    <row r="17" spans="1:33" x14ac:dyDescent="0.25">
      <c r="A17">
        <v>7</v>
      </c>
      <c r="B17" t="s">
        <v>18</v>
      </c>
      <c r="C17" t="s">
        <v>19</v>
      </c>
      <c r="D17" t="s">
        <v>7</v>
      </c>
      <c r="E17" s="9">
        <v>12000</v>
      </c>
      <c r="F17" s="9">
        <f t="shared" si="9"/>
        <v>2400</v>
      </c>
      <c r="G17" t="b">
        <f t="shared" si="6"/>
        <v>1</v>
      </c>
      <c r="I17" s="2">
        <v>7</v>
      </c>
      <c r="J17" s="3" t="s">
        <v>18</v>
      </c>
      <c r="K17" s="3" t="s">
        <v>19</v>
      </c>
      <c r="L17" s="3" t="s">
        <v>7</v>
      </c>
      <c r="M17" s="4">
        <v>12000</v>
      </c>
      <c r="N17" s="7">
        <f t="shared" si="10"/>
        <v>2400</v>
      </c>
      <c r="O17" s="3" t="b">
        <f t="shared" si="7"/>
        <v>1</v>
      </c>
      <c r="Q17" s="13">
        <v>7</v>
      </c>
      <c r="R17" t="s">
        <v>18</v>
      </c>
      <c r="S17" t="s">
        <v>19</v>
      </c>
      <c r="T17" t="s">
        <v>7</v>
      </c>
      <c r="U17" s="8">
        <v>12000</v>
      </c>
      <c r="V17" s="9">
        <f t="shared" si="11"/>
        <v>2400</v>
      </c>
      <c r="W17" t="b">
        <f t="shared" si="8"/>
        <v>1</v>
      </c>
      <c r="Z17" s="2">
        <v>7</v>
      </c>
      <c r="AA17" s="3" t="s">
        <v>18</v>
      </c>
      <c r="AB17" s="3" t="s">
        <v>19</v>
      </c>
      <c r="AC17" s="3" t="s">
        <v>7</v>
      </c>
      <c r="AD17" s="4">
        <v>12000</v>
      </c>
      <c r="AE17" s="7">
        <v>2400</v>
      </c>
      <c r="AF17" s="3" t="b">
        <v>1</v>
      </c>
    </row>
    <row r="18" spans="1:33" x14ac:dyDescent="0.25">
      <c r="A18">
        <v>8</v>
      </c>
      <c r="B18" t="s">
        <v>20</v>
      </c>
      <c r="C18" t="s">
        <v>21</v>
      </c>
      <c r="D18" t="s">
        <v>10</v>
      </c>
      <c r="E18" s="9">
        <v>15000</v>
      </c>
      <c r="F18" s="9">
        <f t="shared" si="9"/>
        <v>3000</v>
      </c>
      <c r="G18" t="b">
        <f t="shared" si="6"/>
        <v>0</v>
      </c>
      <c r="I18" s="2">
        <v>8</v>
      </c>
      <c r="J18" s="10" t="s">
        <v>20</v>
      </c>
      <c r="K18" s="3" t="s">
        <v>21</v>
      </c>
      <c r="L18" s="3" t="s">
        <v>10</v>
      </c>
      <c r="M18" s="4">
        <v>15000</v>
      </c>
      <c r="N18" s="7">
        <f t="shared" si="10"/>
        <v>3000</v>
      </c>
      <c r="O18" s="3" t="b">
        <f t="shared" si="7"/>
        <v>0</v>
      </c>
      <c r="Q18" s="13">
        <v>8</v>
      </c>
      <c r="R18" s="14" t="s">
        <v>20</v>
      </c>
      <c r="S18" t="s">
        <v>21</v>
      </c>
      <c r="T18" t="s">
        <v>10</v>
      </c>
      <c r="U18" s="8">
        <v>15000</v>
      </c>
      <c r="V18" s="9">
        <f t="shared" si="11"/>
        <v>3000</v>
      </c>
      <c r="W18" t="b">
        <f t="shared" si="8"/>
        <v>0</v>
      </c>
      <c r="Z18" s="2">
        <v>8</v>
      </c>
      <c r="AA18" s="10" t="s">
        <v>20</v>
      </c>
      <c r="AB18" s="3" t="s">
        <v>21</v>
      </c>
      <c r="AC18" s="3" t="s">
        <v>10</v>
      </c>
      <c r="AD18" s="4">
        <v>15000</v>
      </c>
      <c r="AE18" s="7">
        <v>3000</v>
      </c>
      <c r="AF18" s="3" t="b">
        <v>0</v>
      </c>
    </row>
    <row r="19" spans="1:33" x14ac:dyDescent="0.25">
      <c r="A19">
        <v>10</v>
      </c>
      <c r="B19" t="s">
        <v>22</v>
      </c>
      <c r="C19" t="s">
        <v>23</v>
      </c>
      <c r="D19" t="s">
        <v>24</v>
      </c>
      <c r="E19" s="9">
        <v>75000</v>
      </c>
      <c r="F19" s="9">
        <f t="shared" si="9"/>
        <v>15000</v>
      </c>
      <c r="G19" t="b">
        <f t="shared" si="6"/>
        <v>0</v>
      </c>
      <c r="I19" s="2">
        <v>10</v>
      </c>
      <c r="J19" s="3" t="s">
        <v>22</v>
      </c>
      <c r="K19" s="3" t="s">
        <v>23</v>
      </c>
      <c r="L19" s="3" t="s">
        <v>24</v>
      </c>
      <c r="M19" s="4">
        <v>75000</v>
      </c>
      <c r="N19" s="7">
        <f t="shared" si="10"/>
        <v>15000</v>
      </c>
      <c r="O19" s="3" t="b">
        <f t="shared" si="7"/>
        <v>0</v>
      </c>
      <c r="Q19" s="13">
        <v>10</v>
      </c>
      <c r="R19" t="s">
        <v>22</v>
      </c>
      <c r="S19" t="s">
        <v>23</v>
      </c>
      <c r="T19" t="s">
        <v>24</v>
      </c>
      <c r="U19" s="8">
        <v>75000</v>
      </c>
      <c r="V19" s="9">
        <f t="shared" si="11"/>
        <v>15000</v>
      </c>
      <c r="W19" t="b">
        <f t="shared" si="8"/>
        <v>0</v>
      </c>
      <c r="Z19" s="2">
        <v>10</v>
      </c>
      <c r="AA19" s="3" t="s">
        <v>22</v>
      </c>
      <c r="AB19" s="3" t="s">
        <v>23</v>
      </c>
      <c r="AC19" s="3" t="s">
        <v>24</v>
      </c>
      <c r="AD19" s="4">
        <v>75000</v>
      </c>
      <c r="AE19" s="7">
        <v>15000</v>
      </c>
      <c r="AF19" s="3" t="b">
        <v>0</v>
      </c>
    </row>
    <row r="22" spans="1:33" x14ac:dyDescent="0.25">
      <c r="A22" s="1" t="s">
        <v>0</v>
      </c>
      <c r="B22" s="1" t="s">
        <v>1</v>
      </c>
      <c r="C22" s="1" t="s">
        <v>2</v>
      </c>
      <c r="D22" s="1" t="s">
        <v>3</v>
      </c>
      <c r="E22" s="6" t="s">
        <v>4</v>
      </c>
      <c r="F22" s="5" t="s">
        <v>25</v>
      </c>
      <c r="G22" s="5" t="s">
        <v>26</v>
      </c>
      <c r="I22" s="1" t="s">
        <v>0</v>
      </c>
      <c r="J22" s="2">
        <v>1</v>
      </c>
      <c r="K22" s="2">
        <v>2</v>
      </c>
      <c r="L22" s="2">
        <v>3</v>
      </c>
      <c r="M22" s="2">
        <v>4</v>
      </c>
      <c r="N22" s="2">
        <v>6</v>
      </c>
      <c r="O22" s="2">
        <v>7</v>
      </c>
      <c r="P22" s="2">
        <v>8</v>
      </c>
      <c r="Q22" s="2">
        <v>10</v>
      </c>
      <c r="S22" t="s">
        <v>0</v>
      </c>
      <c r="T22" t="s">
        <v>1</v>
      </c>
      <c r="U22" t="s">
        <v>2</v>
      </c>
      <c r="V22" t="s">
        <v>3</v>
      </c>
      <c r="W22" t="s">
        <v>4</v>
      </c>
      <c r="X22" t="s">
        <v>25</v>
      </c>
      <c r="Y22" t="s">
        <v>26</v>
      </c>
      <c r="AA22" t="str">
        <f t="shared" ref="AA22:AA30" si="12">A1</f>
        <v>S. No.</v>
      </c>
      <c r="AB22" t="str">
        <f t="shared" ref="AB22:AB30" si="13">B1</f>
        <v>Name</v>
      </c>
      <c r="AC22" t="str">
        <f t="shared" ref="AC22:AC30" si="14">C1</f>
        <v>Employee Code</v>
      </c>
      <c r="AD22" t="str">
        <f t="shared" ref="AD22:AD30" si="15">D1</f>
        <v>Designation</v>
      </c>
      <c r="AE22" s="9" t="str">
        <f t="shared" ref="AE22:AE30" si="16">E1</f>
        <v>Salary</v>
      </c>
      <c r="AF22" t="str">
        <f t="shared" ref="AF22:AF30" si="17">F1</f>
        <v>BONUS</v>
      </c>
      <c r="AG22" t="str">
        <f t="shared" ref="AG22:AG30" si="18">G1</f>
        <v>INCREMENT</v>
      </c>
    </row>
    <row r="23" spans="1:33" x14ac:dyDescent="0.25">
      <c r="A23" s="2">
        <v>1</v>
      </c>
      <c r="B23" s="3" t="s">
        <v>5</v>
      </c>
      <c r="C23" s="3" t="s">
        <v>6</v>
      </c>
      <c r="D23" s="3" t="s">
        <v>7</v>
      </c>
      <c r="E23" s="4">
        <v>15000</v>
      </c>
      <c r="F23" s="7">
        <f>E23*20%</f>
        <v>3000</v>
      </c>
      <c r="G23" s="3" t="b">
        <f>AND(D23="MIS EXECUTIVE")</f>
        <v>1</v>
      </c>
      <c r="I23" s="1" t="s">
        <v>1</v>
      </c>
      <c r="J23" s="3" t="s">
        <v>5</v>
      </c>
      <c r="K23" s="3" t="s">
        <v>8</v>
      </c>
      <c r="L23" s="10" t="s">
        <v>11</v>
      </c>
      <c r="M23" s="3" t="s">
        <v>14</v>
      </c>
      <c r="N23" s="10" t="s">
        <v>16</v>
      </c>
      <c r="O23" s="3" t="s">
        <v>18</v>
      </c>
      <c r="P23" s="10" t="s">
        <v>20</v>
      </c>
      <c r="Q23" s="3" t="s">
        <v>22</v>
      </c>
      <c r="S23">
        <v>1</v>
      </c>
      <c r="T23" t="s">
        <v>5</v>
      </c>
      <c r="U23" t="s">
        <v>6</v>
      </c>
      <c r="V23" t="s">
        <v>7</v>
      </c>
      <c r="W23">
        <v>15000</v>
      </c>
      <c r="X23">
        <v>3000</v>
      </c>
      <c r="Y23" t="b">
        <v>1</v>
      </c>
      <c r="AA23">
        <f t="shared" si="12"/>
        <v>1</v>
      </c>
      <c r="AB23" t="str">
        <f t="shared" si="13"/>
        <v>Arun</v>
      </c>
      <c r="AC23" t="str">
        <f t="shared" si="14"/>
        <v>TCS 1</v>
      </c>
      <c r="AD23" t="str">
        <f t="shared" si="15"/>
        <v>MIS Executive</v>
      </c>
      <c r="AE23" s="9">
        <f t="shared" si="16"/>
        <v>15000</v>
      </c>
      <c r="AF23" s="9">
        <f t="shared" si="17"/>
        <v>3000</v>
      </c>
      <c r="AG23" t="b">
        <f t="shared" si="18"/>
        <v>1</v>
      </c>
    </row>
    <row r="24" spans="1:33" x14ac:dyDescent="0.25">
      <c r="A24" s="2">
        <v>2</v>
      </c>
      <c r="B24" s="3" t="s">
        <v>8</v>
      </c>
      <c r="C24" s="3" t="s">
        <v>9</v>
      </c>
      <c r="D24" s="3" t="s">
        <v>10</v>
      </c>
      <c r="E24" s="4">
        <v>15000</v>
      </c>
      <c r="F24" s="7">
        <f>E24*20%</f>
        <v>3000</v>
      </c>
      <c r="G24" s="3" t="b">
        <f t="shared" ref="G24:G30" si="19">AND(D24="MIS EXECUTIVE")</f>
        <v>0</v>
      </c>
      <c r="I24" s="1" t="s">
        <v>2</v>
      </c>
      <c r="J24" s="3" t="s">
        <v>6</v>
      </c>
      <c r="K24" s="3" t="s">
        <v>9</v>
      </c>
      <c r="L24" s="3" t="s">
        <v>12</v>
      </c>
      <c r="M24" s="3" t="s">
        <v>15</v>
      </c>
      <c r="N24" s="3" t="s">
        <v>17</v>
      </c>
      <c r="O24" s="3" t="s">
        <v>19</v>
      </c>
      <c r="P24" s="3" t="s">
        <v>21</v>
      </c>
      <c r="Q24" s="3" t="s">
        <v>23</v>
      </c>
      <c r="S24">
        <v>2</v>
      </c>
      <c r="T24" t="s">
        <v>8</v>
      </c>
      <c r="U24" t="s">
        <v>9</v>
      </c>
      <c r="V24" t="s">
        <v>10</v>
      </c>
      <c r="W24">
        <v>15000</v>
      </c>
      <c r="X24">
        <v>3000</v>
      </c>
      <c r="Y24" t="b">
        <v>0</v>
      </c>
      <c r="AA24">
        <f t="shared" si="12"/>
        <v>2</v>
      </c>
      <c r="AB24" t="str">
        <f t="shared" si="13"/>
        <v>Tarun</v>
      </c>
      <c r="AC24" t="str">
        <f t="shared" si="14"/>
        <v>TCS 2</v>
      </c>
      <c r="AD24" t="str">
        <f t="shared" si="15"/>
        <v>Consultant</v>
      </c>
      <c r="AE24" s="9">
        <f t="shared" si="16"/>
        <v>15000</v>
      </c>
      <c r="AF24" s="9">
        <f t="shared" si="17"/>
        <v>3000</v>
      </c>
      <c r="AG24" t="b">
        <f t="shared" si="18"/>
        <v>0</v>
      </c>
    </row>
    <row r="25" spans="1:33" x14ac:dyDescent="0.25">
      <c r="A25" s="2">
        <v>3</v>
      </c>
      <c r="B25" s="10" t="s">
        <v>11</v>
      </c>
      <c r="C25" s="3" t="s">
        <v>12</v>
      </c>
      <c r="D25" s="3" t="s">
        <v>13</v>
      </c>
      <c r="E25" s="4">
        <v>12000</v>
      </c>
      <c r="F25" s="7">
        <f t="shared" ref="F25:F30" si="20">E25*20%</f>
        <v>2400</v>
      </c>
      <c r="G25" s="3" t="b">
        <f t="shared" si="19"/>
        <v>0</v>
      </c>
      <c r="I25" s="1" t="s">
        <v>3</v>
      </c>
      <c r="J25" s="3" t="s">
        <v>7</v>
      </c>
      <c r="K25" s="3" t="s">
        <v>10</v>
      </c>
      <c r="L25" s="3" t="s">
        <v>13</v>
      </c>
      <c r="M25" s="3" t="s">
        <v>7</v>
      </c>
      <c r="N25" s="3" t="s">
        <v>13</v>
      </c>
      <c r="O25" s="3" t="s">
        <v>7</v>
      </c>
      <c r="P25" s="3" t="s">
        <v>10</v>
      </c>
      <c r="Q25" s="3" t="s">
        <v>24</v>
      </c>
      <c r="S25">
        <v>3</v>
      </c>
      <c r="T25" t="s">
        <v>11</v>
      </c>
      <c r="U25" t="s">
        <v>12</v>
      </c>
      <c r="V25" t="s">
        <v>13</v>
      </c>
      <c r="W25">
        <v>12000</v>
      </c>
      <c r="X25">
        <v>2400</v>
      </c>
      <c r="Y25" t="b">
        <v>0</v>
      </c>
      <c r="AA25">
        <f t="shared" si="12"/>
        <v>3</v>
      </c>
      <c r="AB25" t="str">
        <f t="shared" si="13"/>
        <v>Varun</v>
      </c>
      <c r="AC25" t="str">
        <f t="shared" si="14"/>
        <v>TCS 3</v>
      </c>
      <c r="AD25" t="str">
        <f t="shared" si="15"/>
        <v>Accounts Executive</v>
      </c>
      <c r="AE25" s="9">
        <f t="shared" si="16"/>
        <v>12000</v>
      </c>
      <c r="AF25" s="9">
        <f t="shared" si="17"/>
        <v>2400</v>
      </c>
      <c r="AG25" t="b">
        <f t="shared" si="18"/>
        <v>0</v>
      </c>
    </row>
    <row r="26" spans="1:33" x14ac:dyDescent="0.25">
      <c r="A26" s="2">
        <v>4</v>
      </c>
      <c r="B26" s="3" t="s">
        <v>14</v>
      </c>
      <c r="C26" s="3" t="s">
        <v>15</v>
      </c>
      <c r="D26" s="3" t="s">
        <v>7</v>
      </c>
      <c r="E26" s="4">
        <v>12000</v>
      </c>
      <c r="F26" s="7">
        <f t="shared" si="20"/>
        <v>2400</v>
      </c>
      <c r="G26" s="3" t="b">
        <f t="shared" si="19"/>
        <v>1</v>
      </c>
      <c r="I26" s="6" t="s">
        <v>4</v>
      </c>
      <c r="J26" s="4">
        <v>15000</v>
      </c>
      <c r="K26" s="4">
        <v>15000</v>
      </c>
      <c r="L26" s="4">
        <v>12000</v>
      </c>
      <c r="M26" s="4">
        <v>12000</v>
      </c>
      <c r="N26" s="4">
        <v>12000</v>
      </c>
      <c r="O26" s="4">
        <v>12000</v>
      </c>
      <c r="P26" s="4">
        <v>15000</v>
      </c>
      <c r="Q26" s="4">
        <v>75000</v>
      </c>
      <c r="S26">
        <v>4</v>
      </c>
      <c r="T26" t="s">
        <v>14</v>
      </c>
      <c r="U26" t="s">
        <v>15</v>
      </c>
      <c r="V26" t="s">
        <v>7</v>
      </c>
      <c r="W26">
        <v>12000</v>
      </c>
      <c r="X26">
        <v>2400</v>
      </c>
      <c r="Y26" t="b">
        <v>1</v>
      </c>
      <c r="AA26">
        <f t="shared" si="12"/>
        <v>4</v>
      </c>
      <c r="AB26" t="str">
        <f t="shared" si="13"/>
        <v>Vikas</v>
      </c>
      <c r="AC26" t="str">
        <f t="shared" si="14"/>
        <v>TCS 4</v>
      </c>
      <c r="AD26" t="str">
        <f t="shared" si="15"/>
        <v>MIS Executive</v>
      </c>
      <c r="AE26" s="9">
        <f t="shared" si="16"/>
        <v>12000</v>
      </c>
      <c r="AF26" s="9">
        <f t="shared" si="17"/>
        <v>2400</v>
      </c>
      <c r="AG26" t="b">
        <f t="shared" si="18"/>
        <v>1</v>
      </c>
    </row>
    <row r="27" spans="1:33" x14ac:dyDescent="0.25">
      <c r="A27" s="2">
        <v>6</v>
      </c>
      <c r="B27" s="10" t="s">
        <v>16</v>
      </c>
      <c r="C27" s="3" t="s">
        <v>17</v>
      </c>
      <c r="D27" s="3" t="s">
        <v>13</v>
      </c>
      <c r="E27" s="4">
        <v>12000</v>
      </c>
      <c r="F27" s="7">
        <f t="shared" si="20"/>
        <v>2400</v>
      </c>
      <c r="G27" s="3" t="b">
        <f t="shared" si="19"/>
        <v>0</v>
      </c>
      <c r="I27" s="5" t="s">
        <v>25</v>
      </c>
      <c r="J27" s="7">
        <f t="shared" ref="J27:Q27" si="21">J26*20%</f>
        <v>3000</v>
      </c>
      <c r="K27" s="7">
        <f t="shared" si="21"/>
        <v>3000</v>
      </c>
      <c r="L27" s="7">
        <f t="shared" si="21"/>
        <v>2400</v>
      </c>
      <c r="M27" s="7">
        <f t="shared" si="21"/>
        <v>2400</v>
      </c>
      <c r="N27" s="7">
        <f t="shared" si="21"/>
        <v>2400</v>
      </c>
      <c r="O27" s="7">
        <f t="shared" si="21"/>
        <v>2400</v>
      </c>
      <c r="P27" s="7">
        <f t="shared" si="21"/>
        <v>3000</v>
      </c>
      <c r="Q27" s="7">
        <f t="shared" si="21"/>
        <v>15000</v>
      </c>
      <c r="S27">
        <v>6</v>
      </c>
      <c r="T27" t="s">
        <v>16</v>
      </c>
      <c r="U27" t="s">
        <v>17</v>
      </c>
      <c r="V27" t="s">
        <v>13</v>
      </c>
      <c r="W27">
        <v>12000</v>
      </c>
      <c r="X27">
        <v>2400</v>
      </c>
      <c r="Y27" t="b">
        <v>0</v>
      </c>
      <c r="AA27">
        <f t="shared" si="12"/>
        <v>6</v>
      </c>
      <c r="AB27" t="str">
        <f t="shared" si="13"/>
        <v>Lalit</v>
      </c>
      <c r="AC27" t="str">
        <f t="shared" si="14"/>
        <v>TCS 6</v>
      </c>
      <c r="AD27" t="str">
        <f t="shared" si="15"/>
        <v>Accounts Executive</v>
      </c>
      <c r="AE27" s="9">
        <f t="shared" si="16"/>
        <v>12000</v>
      </c>
      <c r="AF27" s="9">
        <f t="shared" si="17"/>
        <v>2400</v>
      </c>
      <c r="AG27" t="b">
        <f t="shared" si="18"/>
        <v>0</v>
      </c>
    </row>
    <row r="28" spans="1:33" x14ac:dyDescent="0.25">
      <c r="A28" s="2">
        <v>7</v>
      </c>
      <c r="B28" s="3" t="s">
        <v>18</v>
      </c>
      <c r="C28" s="3" t="s">
        <v>19</v>
      </c>
      <c r="D28" s="3" t="s">
        <v>7</v>
      </c>
      <c r="E28" s="4">
        <v>12000</v>
      </c>
      <c r="F28" s="7">
        <f t="shared" si="20"/>
        <v>2400</v>
      </c>
      <c r="G28" s="3" t="b">
        <f t="shared" si="19"/>
        <v>1</v>
      </c>
      <c r="I28" s="5" t="s">
        <v>26</v>
      </c>
      <c r="J28" s="3" t="b">
        <f t="shared" ref="J28:Q28" si="22">AND(J25="MIS EXECUTIVE")</f>
        <v>1</v>
      </c>
      <c r="K28" s="3" t="b">
        <f t="shared" si="22"/>
        <v>0</v>
      </c>
      <c r="L28" s="3" t="b">
        <f t="shared" si="22"/>
        <v>0</v>
      </c>
      <c r="M28" s="3" t="b">
        <f t="shared" si="22"/>
        <v>1</v>
      </c>
      <c r="N28" s="3" t="b">
        <f t="shared" si="22"/>
        <v>0</v>
      </c>
      <c r="O28" s="3" t="b">
        <f t="shared" si="22"/>
        <v>1</v>
      </c>
      <c r="P28" s="3" t="b">
        <f t="shared" si="22"/>
        <v>0</v>
      </c>
      <c r="Q28" s="3" t="b">
        <f t="shared" si="22"/>
        <v>0</v>
      </c>
      <c r="S28">
        <v>7</v>
      </c>
      <c r="T28" t="s">
        <v>18</v>
      </c>
      <c r="U28" t="s">
        <v>19</v>
      </c>
      <c r="V28" t="s">
        <v>7</v>
      </c>
      <c r="W28">
        <v>12000</v>
      </c>
      <c r="X28">
        <v>2400</v>
      </c>
      <c r="Y28" t="b">
        <v>1</v>
      </c>
      <c r="AA28">
        <f t="shared" si="12"/>
        <v>7</v>
      </c>
      <c r="AB28" t="str">
        <f t="shared" si="13"/>
        <v>Raju</v>
      </c>
      <c r="AC28" t="str">
        <f t="shared" si="14"/>
        <v>TCS 7</v>
      </c>
      <c r="AD28" t="str">
        <f t="shared" si="15"/>
        <v>MIS Executive</v>
      </c>
      <c r="AE28" s="9">
        <f t="shared" si="16"/>
        <v>12000</v>
      </c>
      <c r="AF28" s="9">
        <f t="shared" si="17"/>
        <v>2400</v>
      </c>
      <c r="AG28" t="b">
        <f t="shared" si="18"/>
        <v>1</v>
      </c>
    </row>
    <row r="29" spans="1:33" x14ac:dyDescent="0.25">
      <c r="A29" s="2">
        <v>8</v>
      </c>
      <c r="B29" s="10" t="s">
        <v>20</v>
      </c>
      <c r="C29" s="3" t="s">
        <v>21</v>
      </c>
      <c r="D29" s="3" t="s">
        <v>10</v>
      </c>
      <c r="E29" s="4">
        <v>15000</v>
      </c>
      <c r="F29" s="7">
        <f t="shared" si="20"/>
        <v>3000</v>
      </c>
      <c r="G29" s="3" t="b">
        <f t="shared" si="19"/>
        <v>0</v>
      </c>
      <c r="S29">
        <v>8</v>
      </c>
      <c r="T29" t="s">
        <v>20</v>
      </c>
      <c r="U29" t="s">
        <v>21</v>
      </c>
      <c r="V29" t="s">
        <v>10</v>
      </c>
      <c r="W29">
        <v>15000</v>
      </c>
      <c r="X29">
        <v>3000</v>
      </c>
      <c r="Y29" t="b">
        <v>0</v>
      </c>
      <c r="AA29">
        <f t="shared" si="12"/>
        <v>8</v>
      </c>
      <c r="AB29" t="str">
        <f t="shared" si="13"/>
        <v>Vaibhav</v>
      </c>
      <c r="AC29" t="str">
        <f t="shared" si="14"/>
        <v>TCS 8</v>
      </c>
      <c r="AD29" t="str">
        <f t="shared" si="15"/>
        <v>Consultant</v>
      </c>
      <c r="AE29" s="9">
        <f t="shared" si="16"/>
        <v>15000</v>
      </c>
      <c r="AF29" s="9">
        <f t="shared" si="17"/>
        <v>3000</v>
      </c>
      <c r="AG29" t="b">
        <f t="shared" si="18"/>
        <v>0</v>
      </c>
    </row>
    <row r="30" spans="1:33" x14ac:dyDescent="0.25">
      <c r="A30" s="2">
        <v>10</v>
      </c>
      <c r="B30" s="3" t="s">
        <v>22</v>
      </c>
      <c r="C30" s="3" t="s">
        <v>23</v>
      </c>
      <c r="D30" s="3" t="s">
        <v>24</v>
      </c>
      <c r="E30" s="4">
        <v>75000</v>
      </c>
      <c r="F30" s="7">
        <f t="shared" si="20"/>
        <v>15000</v>
      </c>
      <c r="G30" s="3" t="b">
        <f t="shared" si="19"/>
        <v>0</v>
      </c>
      <c r="S30">
        <v>10</v>
      </c>
      <c r="T30" t="s">
        <v>22</v>
      </c>
      <c r="U30" t="s">
        <v>23</v>
      </c>
      <c r="V30" t="s">
        <v>24</v>
      </c>
      <c r="W30">
        <v>75000</v>
      </c>
      <c r="X30">
        <v>15000</v>
      </c>
      <c r="Y30" t="b">
        <v>0</v>
      </c>
      <c r="AA30">
        <f t="shared" si="12"/>
        <v>10</v>
      </c>
      <c r="AB30" t="str">
        <f t="shared" si="13"/>
        <v>Sagar</v>
      </c>
      <c r="AC30" t="str">
        <f t="shared" si="14"/>
        <v>TCS 10</v>
      </c>
      <c r="AD30" t="str">
        <f t="shared" si="15"/>
        <v>Manager</v>
      </c>
      <c r="AE30" s="9">
        <f t="shared" si="16"/>
        <v>75000</v>
      </c>
      <c r="AF30" s="9">
        <f t="shared" si="17"/>
        <v>15000</v>
      </c>
      <c r="AG30" t="b">
        <f t="shared" si="18"/>
        <v>0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D493-C6C7-4F86-AFBF-182724649200}">
  <dimension ref="A1:E15"/>
  <sheetViews>
    <sheetView workbookViewId="0">
      <selection activeCell="E14" sqref="E14"/>
    </sheetView>
  </sheetViews>
  <sheetFormatPr defaultRowHeight="15" x14ac:dyDescent="0.25"/>
  <sheetData>
    <row r="1" spans="1:5" x14ac:dyDescent="0.25">
      <c r="A1" t="s">
        <v>1</v>
      </c>
      <c r="C1" t="s">
        <v>27</v>
      </c>
    </row>
    <row r="2" spans="1:5" x14ac:dyDescent="0.25">
      <c r="A2" t="s">
        <v>28</v>
      </c>
      <c r="C2" t="s">
        <v>31</v>
      </c>
    </row>
    <row r="3" spans="1:5" x14ac:dyDescent="0.25">
      <c r="A3" t="s">
        <v>29</v>
      </c>
      <c r="C3" t="s">
        <v>32</v>
      </c>
    </row>
    <row r="4" spans="1:5" x14ac:dyDescent="0.25">
      <c r="C4" t="s">
        <v>33</v>
      </c>
    </row>
    <row r="5" spans="1:5" x14ac:dyDescent="0.25">
      <c r="C5" t="s">
        <v>34</v>
      </c>
    </row>
    <row r="6" spans="1:5" x14ac:dyDescent="0.25">
      <c r="A6" t="s">
        <v>30</v>
      </c>
      <c r="C6" t="s">
        <v>35</v>
      </c>
    </row>
    <row r="10" spans="1:5" x14ac:dyDescent="0.25">
      <c r="A10" t="s">
        <v>1</v>
      </c>
      <c r="C10" t="s">
        <v>27</v>
      </c>
    </row>
    <row r="11" spans="1:5" x14ac:dyDescent="0.25">
      <c r="A11" t="s">
        <v>28</v>
      </c>
      <c r="C11" t="s">
        <v>28</v>
      </c>
    </row>
    <row r="12" spans="1:5" x14ac:dyDescent="0.25">
      <c r="A12" t="s">
        <v>29</v>
      </c>
      <c r="C12" t="s">
        <v>29</v>
      </c>
    </row>
    <row r="13" spans="1:5" x14ac:dyDescent="0.25">
      <c r="C13" t="s">
        <v>33</v>
      </c>
      <c r="E13" t="s">
        <v>36</v>
      </c>
    </row>
    <row r="14" spans="1:5" x14ac:dyDescent="0.25">
      <c r="C14" t="s">
        <v>34</v>
      </c>
    </row>
    <row r="15" spans="1:5" x14ac:dyDescent="0.25">
      <c r="A15" t="s">
        <v>30</v>
      </c>
      <c r="C1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7F03-1819-4FED-969E-5FFAE09E0E7A}">
  <dimension ref="A1:Q19"/>
  <sheetViews>
    <sheetView workbookViewId="0">
      <selection activeCell="O15" sqref="O15"/>
    </sheetView>
  </sheetViews>
  <sheetFormatPr defaultRowHeight="15" x14ac:dyDescent="0.25"/>
  <sheetData>
    <row r="1" spans="1:17" x14ac:dyDescent="0.25">
      <c r="A1" t="s">
        <v>37</v>
      </c>
      <c r="B1" t="s">
        <v>42</v>
      </c>
      <c r="C1" t="s">
        <v>43</v>
      </c>
      <c r="D1" t="s">
        <v>44</v>
      </c>
      <c r="F1" t="s">
        <v>45</v>
      </c>
      <c r="K1" t="s">
        <v>37</v>
      </c>
      <c r="L1" t="s">
        <v>42</v>
      </c>
      <c r="M1" t="s">
        <v>43</v>
      </c>
      <c r="N1" t="s">
        <v>44</v>
      </c>
      <c r="P1" t="s">
        <v>45</v>
      </c>
    </row>
    <row r="2" spans="1:17" x14ac:dyDescent="0.25">
      <c r="A2" t="s">
        <v>38</v>
      </c>
      <c r="B2">
        <v>65</v>
      </c>
      <c r="C2">
        <v>65</v>
      </c>
      <c r="D2">
        <v>65</v>
      </c>
      <c r="F2">
        <v>10</v>
      </c>
      <c r="K2" t="s">
        <v>38</v>
      </c>
      <c r="L2">
        <v>650</v>
      </c>
      <c r="M2">
        <v>650</v>
      </c>
      <c r="N2">
        <v>650</v>
      </c>
      <c r="P2">
        <v>10</v>
      </c>
    </row>
    <row r="3" spans="1:17" x14ac:dyDescent="0.25">
      <c r="A3" t="s">
        <v>39</v>
      </c>
      <c r="B3">
        <v>46</v>
      </c>
      <c r="C3">
        <v>46</v>
      </c>
      <c r="D3">
        <v>46</v>
      </c>
      <c r="K3" t="s">
        <v>39</v>
      </c>
      <c r="L3">
        <v>460</v>
      </c>
      <c r="M3">
        <v>460</v>
      </c>
      <c r="N3">
        <v>460</v>
      </c>
      <c r="Q3" t="s">
        <v>48</v>
      </c>
    </row>
    <row r="4" spans="1:17" x14ac:dyDescent="0.25">
      <c r="A4" t="s">
        <v>40</v>
      </c>
      <c r="B4">
        <v>65</v>
      </c>
      <c r="C4">
        <v>65</v>
      </c>
      <c r="D4">
        <v>65</v>
      </c>
      <c r="K4" t="s">
        <v>40</v>
      </c>
      <c r="L4">
        <v>650</v>
      </c>
      <c r="M4">
        <v>650</v>
      </c>
      <c r="N4">
        <v>650</v>
      </c>
    </row>
    <row r="5" spans="1:17" x14ac:dyDescent="0.25">
      <c r="A5" t="s">
        <v>41</v>
      </c>
      <c r="B5">
        <v>75</v>
      </c>
      <c r="C5">
        <v>75</v>
      </c>
      <c r="D5">
        <v>75</v>
      </c>
      <c r="K5" t="s">
        <v>41</v>
      </c>
      <c r="L5">
        <v>750</v>
      </c>
      <c r="M5">
        <v>750</v>
      </c>
      <c r="N5">
        <v>750</v>
      </c>
    </row>
    <row r="8" spans="1:17" x14ac:dyDescent="0.25">
      <c r="A8" t="s">
        <v>37</v>
      </c>
      <c r="B8" t="s">
        <v>42</v>
      </c>
      <c r="C8" t="s">
        <v>43</v>
      </c>
      <c r="D8" t="s">
        <v>44</v>
      </c>
      <c r="F8" t="s">
        <v>45</v>
      </c>
      <c r="K8" t="s">
        <v>37</v>
      </c>
      <c r="L8" t="s">
        <v>42</v>
      </c>
      <c r="M8" t="s">
        <v>43</v>
      </c>
      <c r="N8" t="s">
        <v>44</v>
      </c>
      <c r="P8" t="s">
        <v>45</v>
      </c>
    </row>
    <row r="9" spans="1:17" x14ac:dyDescent="0.25">
      <c r="A9" t="s">
        <v>38</v>
      </c>
      <c r="B9">
        <v>75</v>
      </c>
      <c r="C9">
        <v>75</v>
      </c>
      <c r="D9">
        <v>75</v>
      </c>
      <c r="F9">
        <v>10</v>
      </c>
      <c r="K9" t="s">
        <v>38</v>
      </c>
      <c r="L9">
        <v>6.5</v>
      </c>
      <c r="M9">
        <v>6.5</v>
      </c>
      <c r="N9">
        <v>6.5</v>
      </c>
      <c r="P9">
        <v>10</v>
      </c>
    </row>
    <row r="10" spans="1:17" x14ac:dyDescent="0.25">
      <c r="A10" t="s">
        <v>39</v>
      </c>
      <c r="B10">
        <v>56</v>
      </c>
      <c r="C10">
        <v>56</v>
      </c>
      <c r="D10">
        <v>56</v>
      </c>
      <c r="G10" t="s">
        <v>46</v>
      </c>
      <c r="K10" t="s">
        <v>39</v>
      </c>
      <c r="L10">
        <v>4.5999999999999996</v>
      </c>
      <c r="M10">
        <v>4.5999999999999996</v>
      </c>
      <c r="N10">
        <v>4.5999999999999996</v>
      </c>
      <c r="Q10" t="s">
        <v>49</v>
      </c>
    </row>
    <row r="11" spans="1:17" x14ac:dyDescent="0.25">
      <c r="A11" t="s">
        <v>40</v>
      </c>
      <c r="B11">
        <v>75</v>
      </c>
      <c r="C11">
        <v>75</v>
      </c>
      <c r="D11">
        <v>75</v>
      </c>
      <c r="K11" t="s">
        <v>40</v>
      </c>
      <c r="L11">
        <v>6.5</v>
      </c>
      <c r="M11">
        <v>6.5</v>
      </c>
      <c r="N11">
        <v>6.5</v>
      </c>
    </row>
    <row r="12" spans="1:17" x14ac:dyDescent="0.25">
      <c r="A12" t="s">
        <v>41</v>
      </c>
      <c r="B12">
        <v>85</v>
      </c>
      <c r="C12">
        <v>85</v>
      </c>
      <c r="D12">
        <v>85</v>
      </c>
      <c r="K12" t="s">
        <v>41</v>
      </c>
      <c r="L12">
        <v>7.5</v>
      </c>
      <c r="M12">
        <v>7.5</v>
      </c>
      <c r="N12">
        <v>7.5</v>
      </c>
    </row>
    <row r="15" spans="1:17" x14ac:dyDescent="0.25">
      <c r="A15" t="s">
        <v>37</v>
      </c>
      <c r="B15" t="s">
        <v>42</v>
      </c>
      <c r="C15" t="s">
        <v>43</v>
      </c>
      <c r="D15" t="s">
        <v>44</v>
      </c>
      <c r="F15" t="s">
        <v>45</v>
      </c>
    </row>
    <row r="16" spans="1:17" x14ac:dyDescent="0.25">
      <c r="A16" t="s">
        <v>38</v>
      </c>
      <c r="B16">
        <v>55</v>
      </c>
      <c r="C16">
        <v>55</v>
      </c>
      <c r="D16">
        <v>55</v>
      </c>
      <c r="F16">
        <v>10</v>
      </c>
    </row>
    <row r="17" spans="1:7" x14ac:dyDescent="0.25">
      <c r="A17" t="s">
        <v>39</v>
      </c>
      <c r="B17">
        <v>36</v>
      </c>
      <c r="C17">
        <v>36</v>
      </c>
      <c r="D17">
        <v>36</v>
      </c>
      <c r="G17" t="s">
        <v>47</v>
      </c>
    </row>
    <row r="18" spans="1:7" x14ac:dyDescent="0.25">
      <c r="A18" t="s">
        <v>40</v>
      </c>
      <c r="B18">
        <v>55</v>
      </c>
      <c r="C18">
        <v>55</v>
      </c>
      <c r="D18">
        <v>55</v>
      </c>
    </row>
    <row r="19" spans="1:7" x14ac:dyDescent="0.25">
      <c r="A19" t="s">
        <v>41</v>
      </c>
      <c r="B19">
        <v>65</v>
      </c>
      <c r="C19">
        <v>65</v>
      </c>
      <c r="D19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Paste</vt:lpstr>
      <vt:lpstr>Skip Blank</vt:lpstr>
      <vt:lpstr>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</dc:creator>
  <cp:lastModifiedBy>Jagriti</cp:lastModifiedBy>
  <dcterms:created xsi:type="dcterms:W3CDTF">2019-01-15T20:16:54Z</dcterms:created>
  <dcterms:modified xsi:type="dcterms:W3CDTF">2026-09-24T14:17:20Z</dcterms:modified>
</cp:coreProperties>
</file>